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c" sheetId="3" r:id="rId6"/>
    <sheet state="visible" name="April" sheetId="4" r:id="rId7"/>
    <sheet state="visible" name="Mei" sheetId="5" r:id="rId8"/>
  </sheets>
  <definedNames>
    <definedName name="AGGHPD2062">#REF!</definedName>
    <definedName localSheetId="2" name="AGGHPD2062">#REF!</definedName>
    <definedName name="Print_Area_MI">#REF!</definedName>
    <definedName name="AGGHPD206">#REF!</definedName>
    <definedName name="__bookmark_1">#REF!</definedName>
    <definedName localSheetId="2" name="Print_Area_MI">#REF!</definedName>
    <definedName name="edited">#REF!</definedName>
    <definedName localSheetId="2" name="AGGHPD206">#REF!</definedName>
  </definedNames>
  <calcPr/>
  <extLst>
    <ext uri="GoogleSheetsCustomDataVersion2">
      <go:sheetsCustomData xmlns:go="http://customooxmlschemas.google.com/" r:id="rId9" roundtripDataChecksum="j5CSG6i55GtGkX/zqG2vf3oET/0a/pJedjOn4ijAlZ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ID#AAAB-MwdUPU
KUED    (2026-06-23 06:29:31)
KUED:</t>
      </text>
    </comment>
  </commentList>
  <extLst>
    <ext uri="GoogleSheetsCustomDataVersion2">
      <go:sheetsCustomData xmlns:go="http://customooxmlschemas.google.com/" r:id="rId1" roundtripDataSignature="AMtx7miNTU2uCi0MJA1VvnQDPy5HFCjkRA=="/>
    </ext>
  </extLst>
</comments>
</file>

<file path=xl/sharedStrings.xml><?xml version="1.0" encoding="utf-8"?>
<sst xmlns="http://schemas.openxmlformats.org/spreadsheetml/2006/main" count="339" uniqueCount="44">
  <si>
    <t>RETEN BULAN      JANUARI 2026      - UNIT KECEMASAN, HOSPITAL BESUT</t>
  </si>
  <si>
    <t>TRIAGE</t>
  </si>
  <si>
    <t>RUJ DARI</t>
  </si>
  <si>
    <t>RUJUKAN  KE</t>
  </si>
  <si>
    <t>OSCC</t>
  </si>
  <si>
    <t>DATE</t>
  </si>
  <si>
    <t>OPD</t>
  </si>
  <si>
    <t>ADM</t>
  </si>
  <si>
    <t>JUM</t>
  </si>
  <si>
    <t>MVA</t>
  </si>
  <si>
    <t>AMB
CALL</t>
  </si>
  <si>
    <t>CMR</t>
  </si>
  <si>
    <t>POP</t>
  </si>
  <si>
    <t>T&amp;S</t>
  </si>
  <si>
    <t>AMI</t>
  </si>
  <si>
    <t>BID</t>
  </si>
  <si>
    <t>DID</t>
  </si>
  <si>
    <t>SEEN BY
MO</t>
  </si>
  <si>
    <t>UNDER 13</t>
  </si>
  <si>
    <t>ASS</t>
  </si>
  <si>
    <t>ROGOL</t>
  </si>
  <si>
    <t>LIWAT</t>
  </si>
  <si>
    <t>DERAAN</t>
  </si>
  <si>
    <t>LAIN</t>
  </si>
  <si>
    <t>M</t>
  </si>
  <si>
    <t>K</t>
  </si>
  <si>
    <t>H &lt;120</t>
  </si>
  <si>
    <t>H &gt;120</t>
  </si>
  <si>
    <t>KK</t>
  </si>
  <si>
    <t>GP</t>
  </si>
  <si>
    <t>HSNZ</t>
  </si>
  <si>
    <t>HUSM</t>
  </si>
  <si>
    <t>HRPZ</t>
  </si>
  <si>
    <t>MO</t>
  </si>
  <si>
    <t>H1</t>
  </si>
  <si>
    <t>H2</t>
  </si>
  <si>
    <t>RETEN BULAN      FEBRUARI 2026      - UNIT KECEMASAN, HOSPITAL BESUT</t>
  </si>
  <si>
    <t>RETEN BULAN      MAC 2026      - UNIT KECEMASAN, HOSPITAL BESUT</t>
  </si>
  <si>
    <t>DAILY GZ</t>
  </si>
  <si>
    <t>DAILY PATIENT</t>
  </si>
  <si>
    <t>DISEDIAKAN :</t>
  </si>
  <si>
    <t>DISEMAK DAN DISAHKAN :</t>
  </si>
  <si>
    <t>RETEN BULAN      APRIL 2026      - UNIT KECEMASAN, HOSPITAL BESUT</t>
  </si>
  <si>
    <t>RETEN BULAN      MEI 2026      - UNIT KECEMASAN, HOSPITAL BESUT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</si>
</sst>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6.0"/>
      <color rgb="FF0000FF"/>
      <name val="Arial"/>
    </font>
    <font>
      <b/>
      <sz val="16.0"/>
      <color rgb="FFFF0000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sz val="8.0"/>
      <color rgb="FFFF0000"/>
      <name val="Arial"/>
    </font>
    <font>
      <b/>
      <sz val="12.0"/>
      <color rgb="FF0000FF"/>
      <name val="Arial"/>
    </font>
    <font>
      <b/>
      <sz val="12.0"/>
      <color rgb="FFFF0000"/>
      <name val="Arial"/>
    </font>
    <font>
      <b/>
      <sz val="12.0"/>
      <color rgb="FF00008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2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79646"/>
        <bgColor rgb="FFF79646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00B050"/>
        <bgColor rgb="FF00B050"/>
      </patternFill>
    </fill>
    <fill>
      <patternFill patternType="solid">
        <fgColor rgb="FFFBD4B4"/>
        <bgColor rgb="FFFBD4B4"/>
      </patternFill>
    </fill>
    <fill>
      <patternFill patternType="solid">
        <fgColor rgb="FFFF99CC"/>
        <bgColor rgb="FFFF99CC"/>
      </patternFill>
    </fill>
    <fill>
      <patternFill patternType="solid">
        <fgColor rgb="FFCCC0D9"/>
        <bgColor rgb="FFCCC0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rgb="FF95B3D7"/>
        <bgColor rgb="FF95B3D7"/>
      </patternFill>
    </fill>
    <fill>
      <patternFill patternType="solid">
        <fgColor rgb="FFE5B8B7"/>
        <bgColor rgb="FFE5B8B7"/>
      </patternFill>
    </fill>
    <fill>
      <patternFill patternType="solid">
        <fgColor rgb="FFE5DFEC"/>
        <bgColor rgb="FFE5DFEC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4" fillId="0" fontId="5" numFmtId="0" xfId="0" applyBorder="1" applyFont="1"/>
    <xf borderId="1" fillId="0" fontId="5" numFmtId="0" xfId="0" applyBorder="1" applyFont="1"/>
    <xf borderId="3" fillId="0" fontId="5" numFmtId="0" xfId="0" applyBorder="1" applyFont="1"/>
    <xf borderId="5" fillId="2" fontId="4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1" fillId="0" fontId="5" numFmtId="0" xfId="0" applyAlignment="1" applyBorder="1" applyFont="1">
      <alignment vertical="bottom"/>
    </xf>
    <xf borderId="8" fillId="0" fontId="6" numFmtId="0" xfId="0" applyAlignment="1" applyBorder="1" applyFont="1">
      <alignment horizontal="center"/>
    </xf>
    <xf borderId="9" fillId="3" fontId="7" numFmtId="0" xfId="0" applyAlignment="1" applyBorder="1" applyFill="1" applyFont="1">
      <alignment horizontal="center"/>
    </xf>
    <xf borderId="9" fillId="4" fontId="7" numFmtId="0" xfId="0" applyAlignment="1" applyBorder="1" applyFill="1" applyFont="1">
      <alignment horizontal="center"/>
    </xf>
    <xf borderId="9" fillId="5" fontId="7" numFmtId="0" xfId="0" applyAlignment="1" applyBorder="1" applyFill="1" applyFont="1">
      <alignment horizontal="center"/>
    </xf>
    <xf borderId="9" fillId="6" fontId="7" numFmtId="0" xfId="0" applyAlignment="1" applyBorder="1" applyFill="1" applyFont="1">
      <alignment horizontal="center"/>
    </xf>
    <xf borderId="9" fillId="7" fontId="8" numFmtId="0" xfId="0" applyAlignment="1" applyBorder="1" applyFill="1" applyFont="1">
      <alignment horizontal="center"/>
    </xf>
    <xf borderId="9" fillId="2" fontId="7" numFmtId="0" xfId="0" applyAlignment="1" applyBorder="1" applyFont="1">
      <alignment horizontal="center"/>
    </xf>
    <xf borderId="4" fillId="5" fontId="8" numFmtId="0" xfId="0" applyAlignment="1" applyBorder="1" applyFont="1">
      <alignment horizontal="center"/>
    </xf>
    <xf borderId="4" fillId="8" fontId="8" numFmtId="0" xfId="0" applyAlignment="1" applyBorder="1" applyFill="1" applyFont="1">
      <alignment horizontal="center"/>
    </xf>
    <xf borderId="9" fillId="2" fontId="9" numFmtId="0" xfId="0" applyAlignment="1" applyBorder="1" applyFont="1">
      <alignment horizontal="center"/>
    </xf>
    <xf borderId="9" fillId="9" fontId="7" numFmtId="0" xfId="0" applyAlignment="1" applyBorder="1" applyFill="1" applyFont="1">
      <alignment horizontal="center"/>
    </xf>
    <xf borderId="10" fillId="10" fontId="7" numFmtId="0" xfId="0" applyAlignment="1" applyBorder="1" applyFill="1" applyFont="1">
      <alignment horizontal="center"/>
    </xf>
    <xf borderId="9" fillId="11" fontId="7" numFmtId="0" xfId="0" applyAlignment="1" applyBorder="1" applyFill="1" applyFont="1">
      <alignment horizontal="center"/>
    </xf>
    <xf borderId="11" fillId="11" fontId="7" numFmtId="0" xfId="0" applyAlignment="1" applyBorder="1" applyFont="1">
      <alignment horizontal="center"/>
    </xf>
    <xf borderId="11" fillId="12" fontId="10" numFmtId="0" xfId="0" applyAlignment="1" applyBorder="1" applyFill="1" applyFont="1">
      <alignment horizontal="center"/>
    </xf>
    <xf borderId="9" fillId="13" fontId="10" numFmtId="0" xfId="0" applyAlignment="1" applyBorder="1" applyFill="1" applyFont="1">
      <alignment horizontal="center"/>
    </xf>
    <xf borderId="12" fillId="4" fontId="10" numFmtId="0" xfId="0" applyAlignment="1" applyBorder="1" applyFont="1">
      <alignment horizontal="center"/>
    </xf>
    <xf borderId="4" fillId="3" fontId="11" numFmtId="0" xfId="0" applyAlignment="1" applyBorder="1" applyFont="1">
      <alignment horizontal="center"/>
    </xf>
    <xf borderId="11" fillId="14" fontId="11" numFmtId="0" xfId="0" applyAlignment="1" applyBorder="1" applyFill="1" applyFont="1">
      <alignment horizontal="center"/>
    </xf>
    <xf borderId="9" fillId="15" fontId="11" numFmtId="0" xfId="0" applyAlignment="1" applyBorder="1" applyFill="1" applyFont="1">
      <alignment horizontal="center"/>
    </xf>
    <xf borderId="4" fillId="16" fontId="11" numFmtId="0" xfId="0" applyAlignment="1" applyBorder="1" applyFill="1" applyFont="1">
      <alignment horizontal="center"/>
    </xf>
    <xf borderId="4" fillId="0" fontId="7" numFmtId="1" xfId="0" applyAlignment="1" applyBorder="1" applyFont="1" applyNumberFormat="1">
      <alignment horizontal="center" vertical="bottom"/>
    </xf>
    <xf borderId="4" fillId="3" fontId="11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vertical="bottom"/>
    </xf>
    <xf borderId="4" fillId="5" fontId="7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8" fontId="7" numFmtId="0" xfId="0" applyAlignment="1" applyBorder="1" applyFont="1">
      <alignment horizontal="center" vertical="bottom"/>
    </xf>
    <xf borderId="4" fillId="8" fontId="12" numFmtId="0" xfId="0" applyAlignment="1" applyBorder="1" applyFont="1">
      <alignment horizontal="center" vertical="bottom"/>
    </xf>
    <xf borderId="4" fillId="9" fontId="7" numFmtId="0" xfId="0" applyAlignment="1" applyBorder="1" applyFont="1">
      <alignment horizontal="center" vertical="bottom"/>
    </xf>
    <xf borderId="4" fillId="10" fontId="7" numFmtId="0" xfId="0" applyAlignment="1" applyBorder="1" applyFont="1">
      <alignment horizontal="center" vertical="bottom"/>
    </xf>
    <xf borderId="4" fillId="11" fontId="7" numFmtId="0" xfId="0" applyAlignment="1" applyBorder="1" applyFont="1">
      <alignment horizontal="center" vertical="bottom"/>
    </xf>
    <xf borderId="4" fillId="17" fontId="7" numFmtId="0" xfId="0" applyAlignment="1" applyBorder="1" applyFill="1" applyFont="1">
      <alignment horizontal="center" vertical="bottom"/>
    </xf>
    <xf borderId="4" fillId="13" fontId="7" numFmtId="0" xfId="0" applyAlignment="1" applyBorder="1" applyFont="1">
      <alignment horizontal="center" vertical="bottom"/>
    </xf>
    <xf borderId="13" fillId="4" fontId="7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  <xf borderId="4" fillId="14" fontId="7" numFmtId="0" xfId="0" applyAlignment="1" applyBorder="1" applyFont="1">
      <alignment horizontal="center" vertical="bottom"/>
    </xf>
    <xf borderId="4" fillId="15" fontId="7" numFmtId="0" xfId="0" applyAlignment="1" applyBorder="1" applyFont="1">
      <alignment horizontal="center" vertical="bottom"/>
    </xf>
    <xf borderId="4" fillId="16" fontId="7" numFmtId="0" xfId="0" applyAlignment="1" applyBorder="1" applyFont="1">
      <alignment horizontal="center" vertical="bottom"/>
    </xf>
    <xf borderId="14" fillId="11" fontId="7" numFmtId="0" xfId="0" applyAlignment="1" applyBorder="1" applyFont="1">
      <alignment horizontal="center" vertical="bottom"/>
    </xf>
    <xf borderId="13" fillId="8" fontId="7" numFmtId="0" xfId="0" applyAlignment="1" applyBorder="1" applyFont="1">
      <alignment horizontal="center" vertical="bottom"/>
    </xf>
    <xf borderId="15" fillId="11" fontId="7" numFmtId="0" xfId="0" applyAlignment="1" applyBorder="1" applyFont="1">
      <alignment horizontal="center" vertical="bottom"/>
    </xf>
    <xf borderId="9" fillId="11" fontId="7" numFmtId="0" xfId="0" applyAlignment="1" applyBorder="1" applyFont="1">
      <alignment horizontal="center" vertical="bottom"/>
    </xf>
    <xf borderId="4" fillId="11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4" fillId="5" fontId="7" numFmtId="0" xfId="0" applyAlignment="1" applyBorder="1" applyFont="1">
      <alignment horizontal="center"/>
    </xf>
    <xf borderId="4" fillId="6" fontId="7" numFmtId="0" xfId="0" applyAlignment="1" applyBorder="1" applyFont="1">
      <alignment horizontal="center"/>
    </xf>
    <xf borderId="4" fillId="7" fontId="8" numFmtId="0" xfId="0" applyAlignment="1" applyBorder="1" applyFont="1">
      <alignment horizontal="center"/>
    </xf>
    <xf borderId="4" fillId="11" fontId="8" numFmtId="0" xfId="0" applyAlignment="1" applyBorder="1" applyFont="1">
      <alignment horizontal="center"/>
    </xf>
    <xf borderId="4" fillId="2" fontId="8" numFmtId="0" xfId="0" applyAlignment="1" applyBorder="1" applyFont="1">
      <alignment horizontal="center"/>
    </xf>
    <xf borderId="4" fillId="9" fontId="7" numFmtId="0" xfId="0" applyAlignment="1" applyBorder="1" applyFont="1">
      <alignment horizontal="center"/>
    </xf>
    <xf borderId="4" fillId="10" fontId="7" numFmtId="0" xfId="0" applyAlignment="1" applyBorder="1" applyFont="1">
      <alignment horizontal="center"/>
    </xf>
    <xf borderId="4" fillId="12" fontId="7" numFmtId="0" xfId="0" applyAlignment="1" applyBorder="1" applyFont="1">
      <alignment horizontal="center"/>
    </xf>
    <xf borderId="4" fillId="13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15" fillId="14" fontId="7" numFmtId="0" xfId="0" applyAlignment="1" applyBorder="1" applyFont="1">
      <alignment horizontal="center"/>
    </xf>
    <xf borderId="4" fillId="15" fontId="7" numFmtId="0" xfId="0" applyAlignment="1" applyBorder="1" applyFont="1">
      <alignment horizontal="center"/>
    </xf>
    <xf borderId="4" fillId="16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4" fillId="7" fontId="7" numFmtId="0" xfId="0" applyAlignment="1" applyBorder="1" applyFont="1">
      <alignment horizontal="center"/>
    </xf>
    <xf borderId="4" fillId="8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1" fillId="11" fontId="7" numFmtId="0" xfId="0" applyAlignment="1" applyBorder="1" applyFont="1">
      <alignment horizontal="center"/>
    </xf>
    <xf borderId="16" fillId="0" fontId="2" numFmtId="0" xfId="0" applyBorder="1" applyFont="1"/>
    <xf borderId="2" fillId="0" fontId="5" numFmtId="0" xfId="0" applyBorder="1" applyFont="1"/>
    <xf borderId="17" fillId="18" fontId="5" numFmtId="0" xfId="0" applyBorder="1" applyFill="1" applyFont="1"/>
    <xf borderId="1" fillId="5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4" fillId="4" fontId="5" numFmtId="0" xfId="0" applyAlignment="1" applyBorder="1" applyFont="1">
      <alignment vertical="bottom"/>
    </xf>
    <xf borderId="4" fillId="5" fontId="5" numFmtId="0" xfId="0" applyAlignment="1" applyBorder="1" applyFont="1">
      <alignment vertical="bottom"/>
    </xf>
    <xf borderId="4" fillId="6" fontId="5" numFmtId="0" xfId="0" applyAlignment="1" applyBorder="1" applyFont="1">
      <alignment vertical="bottom"/>
    </xf>
    <xf borderId="4" fillId="7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8" fontId="5" numFmtId="0" xfId="0" applyAlignment="1" applyBorder="1" applyFont="1">
      <alignment vertical="bottom"/>
    </xf>
    <xf borderId="4" fillId="9" fontId="5" numFmtId="0" xfId="0" applyAlignment="1" applyBorder="1" applyFont="1">
      <alignment vertical="bottom"/>
    </xf>
    <xf borderId="4" fillId="10" fontId="5" numFmtId="0" xfId="0" applyAlignment="1" applyBorder="1" applyFont="1">
      <alignment vertical="bottom"/>
    </xf>
    <xf borderId="4" fillId="11" fontId="5" numFmtId="0" xfId="0" applyAlignment="1" applyBorder="1" applyFont="1">
      <alignment vertical="bottom"/>
    </xf>
    <xf borderId="4" fillId="17" fontId="5" numFmtId="0" xfId="0" applyAlignment="1" applyBorder="1" applyFont="1">
      <alignment vertical="bottom"/>
    </xf>
    <xf borderId="4" fillId="13" fontId="5" numFmtId="0" xfId="0" applyAlignment="1" applyBorder="1" applyFont="1">
      <alignment vertical="bottom"/>
    </xf>
    <xf borderId="13" fillId="4" fontId="5" numFmtId="0" xfId="0" applyAlignment="1" applyBorder="1" applyFont="1">
      <alignment vertical="bottom"/>
    </xf>
    <xf borderId="4" fillId="3" fontId="5" numFmtId="0" xfId="0" applyAlignment="1" applyBorder="1" applyFont="1">
      <alignment vertical="bottom"/>
    </xf>
    <xf borderId="4" fillId="14" fontId="5" numFmtId="0" xfId="0" applyAlignment="1" applyBorder="1" applyFont="1">
      <alignment vertical="bottom"/>
    </xf>
    <xf borderId="4" fillId="15" fontId="5" numFmtId="0" xfId="0" applyAlignment="1" applyBorder="1" applyFont="1">
      <alignment vertical="bottom"/>
    </xf>
    <xf borderId="4" fillId="16" fontId="5" numFmtId="0" xfId="0" applyAlignment="1" applyBorder="1" applyFont="1">
      <alignment vertical="bottom"/>
    </xf>
    <xf borderId="0" fillId="0" fontId="13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3" fillId="0" fontId="11" numFmtId="0" xfId="0" applyBorder="1" applyFont="1"/>
    <xf borderId="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5" fillId="19" fontId="4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11" numFmtId="0" xfId="0" applyFont="1"/>
    <xf borderId="8" fillId="0" fontId="14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9" fillId="4" fontId="7" numFmtId="0" xfId="0" applyAlignment="1" applyBorder="1" applyFont="1">
      <alignment horizontal="center" vertical="center"/>
    </xf>
    <xf borderId="9" fillId="5" fontId="7" numFmtId="0" xfId="0" applyAlignment="1" applyBorder="1" applyFont="1">
      <alignment horizontal="center" vertical="center"/>
    </xf>
    <xf borderId="9" fillId="6" fontId="7" numFmtId="0" xfId="0" applyAlignment="1" applyBorder="1" applyFont="1">
      <alignment horizontal="center" vertical="center"/>
    </xf>
    <xf borderId="9" fillId="7" fontId="8" numFmtId="0" xfId="0" applyAlignment="1" applyBorder="1" applyFont="1">
      <alignment horizontal="center" shrinkToFit="1" vertical="center" wrapText="0"/>
    </xf>
    <xf borderId="9" fillId="19" fontId="7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shrinkToFit="1" vertical="center" wrapText="0"/>
    </xf>
    <xf borderId="4" fillId="8" fontId="8" numFmtId="0" xfId="0" applyAlignment="1" applyBorder="1" applyFont="1">
      <alignment horizontal="center" shrinkToFit="1" vertical="center" wrapText="0"/>
    </xf>
    <xf borderId="9" fillId="19" fontId="9" numFmtId="0" xfId="0" applyAlignment="1" applyBorder="1" applyFont="1">
      <alignment horizontal="center" shrinkToFit="1" vertical="center" wrapText="0"/>
    </xf>
    <xf borderId="9" fillId="19" fontId="9" numFmtId="0" xfId="0" applyAlignment="1" applyBorder="1" applyFont="1">
      <alignment horizontal="center" vertical="center"/>
    </xf>
    <xf borderId="9" fillId="9" fontId="7" numFmtId="0" xfId="0" applyAlignment="1" applyBorder="1" applyFont="1">
      <alignment horizontal="center" shrinkToFit="1" vertical="center" wrapText="0"/>
    </xf>
    <xf borderId="10" fillId="10" fontId="7" numFmtId="0" xfId="0" applyAlignment="1" applyBorder="1" applyFont="1">
      <alignment horizontal="center" shrinkToFit="1" vertical="center" wrapText="0"/>
    </xf>
    <xf borderId="9" fillId="11" fontId="7" numFmtId="0" xfId="0" applyAlignment="1" applyBorder="1" applyFont="1">
      <alignment horizontal="center" shrinkToFit="1" vertical="center" wrapText="0"/>
    </xf>
    <xf borderId="11" fillId="11" fontId="7" numFmtId="0" xfId="0" applyAlignment="1" applyBorder="1" applyFont="1">
      <alignment horizontal="center" shrinkToFit="1" vertical="center" wrapText="0"/>
    </xf>
    <xf borderId="11" fillId="12" fontId="10" numFmtId="0" xfId="0" applyAlignment="1" applyBorder="1" applyFont="1">
      <alignment horizontal="center" vertical="center"/>
    </xf>
    <xf borderId="9" fillId="13" fontId="10" numFmtId="0" xfId="0" applyAlignment="1" applyBorder="1" applyFont="1">
      <alignment horizontal="center" vertical="center"/>
    </xf>
    <xf borderId="12" fillId="4" fontId="10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center" vertical="center"/>
    </xf>
    <xf borderId="11" fillId="14" fontId="11" numFmtId="0" xfId="0" applyAlignment="1" applyBorder="1" applyFont="1">
      <alignment horizontal="center" vertical="center"/>
    </xf>
    <xf borderId="9" fillId="15" fontId="11" numFmtId="0" xfId="0" applyAlignment="1" applyBorder="1" applyFont="1">
      <alignment horizontal="center" vertical="center"/>
    </xf>
    <xf borderId="4" fillId="16" fontId="11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1" vertical="center" wrapText="0"/>
    </xf>
    <xf borderId="0" fillId="0" fontId="13" numFmtId="0" xfId="0" applyAlignment="1" applyFont="1">
      <alignment horizontal="center" vertical="center"/>
    </xf>
    <xf borderId="4" fillId="11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shrinkToFit="0" vertical="center" wrapText="1"/>
    </xf>
    <xf borderId="4" fillId="0" fontId="7" numFmtId="1" xfId="0" applyAlignment="1" applyBorder="1" applyFont="1" applyNumberFormat="1">
      <alignment horizontal="center"/>
    </xf>
    <xf borderId="4" fillId="3" fontId="11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4" fillId="5" fontId="7" numFmtId="0" xfId="0" applyAlignment="1" applyBorder="1" applyFont="1">
      <alignment horizontal="center"/>
    </xf>
    <xf borderId="4" fillId="6" fontId="12" numFmtId="0" xfId="0" applyAlignment="1" applyBorder="1" applyFont="1">
      <alignment horizontal="center"/>
    </xf>
    <xf borderId="4" fillId="7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8" fontId="7" numFmtId="0" xfId="0" applyAlignment="1" applyBorder="1" applyFont="1">
      <alignment horizontal="center"/>
    </xf>
    <xf borderId="4" fillId="8" fontId="12" numFmtId="0" xfId="0" applyAlignment="1" applyBorder="1" applyFont="1">
      <alignment horizontal="center"/>
    </xf>
    <xf borderId="4" fillId="9" fontId="7" numFmtId="0" xfId="0" applyAlignment="1" applyBorder="1" applyFont="1">
      <alignment horizontal="center"/>
    </xf>
    <xf borderId="4" fillId="10" fontId="7" numFmtId="0" xfId="0" applyAlignment="1" applyBorder="1" applyFont="1">
      <alignment horizontal="center"/>
    </xf>
    <xf borderId="4" fillId="11" fontId="7" numFmtId="0" xfId="0" applyAlignment="1" applyBorder="1" applyFont="1">
      <alignment horizontal="center"/>
    </xf>
    <xf borderId="4" fillId="17" fontId="7" numFmtId="0" xfId="0" applyAlignment="1" applyBorder="1" applyFont="1">
      <alignment horizontal="center"/>
    </xf>
    <xf borderId="4" fillId="13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4" fillId="14" fontId="7" numFmtId="0" xfId="0" applyAlignment="1" applyBorder="1" applyFont="1">
      <alignment horizontal="center"/>
    </xf>
    <xf borderId="4" fillId="15" fontId="7" numFmtId="0" xfId="0" applyAlignment="1" applyBorder="1" applyFont="1">
      <alignment horizontal="center"/>
    </xf>
    <xf borderId="4" fillId="16" fontId="7" numFmtId="0" xfId="0" applyAlignment="1" applyBorder="1" applyFont="1">
      <alignment horizontal="center"/>
    </xf>
    <xf borderId="18" fillId="20" fontId="14" numFmtId="0" xfId="0" applyBorder="1" applyFill="1" applyFont="1"/>
    <xf borderId="4" fillId="20" fontId="14" numFmtId="0" xfId="0" applyAlignment="1" applyBorder="1" applyFont="1">
      <alignment horizontal="center"/>
    </xf>
    <xf borderId="4" fillId="10" fontId="14" numFmtId="0" xfId="0" applyAlignment="1" applyBorder="1" applyFont="1">
      <alignment horizontal="center" vertical="center"/>
    </xf>
    <xf borderId="14" fillId="11" fontId="7" numFmtId="0" xfId="0" applyAlignment="1" applyBorder="1" applyFont="1">
      <alignment horizontal="center"/>
    </xf>
    <xf borderId="13" fillId="8" fontId="7" numFmtId="0" xfId="0" applyAlignment="1" applyBorder="1" applyFont="1">
      <alignment horizontal="center"/>
    </xf>
    <xf borderId="15" fillId="11" fontId="7" numFmtId="0" xfId="0" applyAlignment="1" applyBorder="1" applyFont="1">
      <alignment horizontal="center"/>
    </xf>
    <xf borderId="9" fillId="11" fontId="7" numFmtId="0" xfId="0" applyAlignment="1" applyBorder="1" applyFont="1">
      <alignment horizontal="center"/>
    </xf>
    <xf borderId="18" fillId="20" fontId="13" numFmtId="0" xfId="0" applyBorder="1" applyFont="1"/>
    <xf borderId="0" fillId="0" fontId="14" numFmtId="0" xfId="0" applyFont="1"/>
    <xf borderId="14" fillId="20" fontId="14" numFmtId="0" xfId="0" applyAlignment="1" applyBorder="1" applyFont="1">
      <alignment horizontal="center"/>
    </xf>
    <xf borderId="14" fillId="10" fontId="14" numFmtId="0" xfId="0" applyAlignment="1" applyBorder="1" applyFont="1">
      <alignment horizontal="center" vertical="center"/>
    </xf>
    <xf borderId="4" fillId="11" fontId="7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shrinkToFit="1" vertical="center" wrapText="0"/>
    </xf>
    <xf borderId="4" fillId="11" fontId="8" numFmtId="0" xfId="0" applyAlignment="1" applyBorder="1" applyFont="1">
      <alignment horizontal="center" shrinkToFit="1" vertical="center" wrapText="0"/>
    </xf>
    <xf borderId="4" fillId="19" fontId="8" numFmtId="0" xfId="0" applyAlignment="1" applyBorder="1" applyFont="1">
      <alignment horizontal="center" shrinkToFit="1" vertical="center" wrapText="0"/>
    </xf>
    <xf borderId="4" fillId="19" fontId="8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shrinkToFit="1" vertical="center" wrapText="0"/>
    </xf>
    <xf borderId="4" fillId="10" fontId="7" numFmtId="0" xfId="0" applyAlignment="1" applyBorder="1" applyFont="1">
      <alignment horizontal="center" shrinkToFit="1" vertical="center" wrapText="0"/>
    </xf>
    <xf borderId="4" fillId="11" fontId="7" numFmtId="0" xfId="0" applyAlignment="1" applyBorder="1" applyFont="1">
      <alignment horizontal="center" shrinkToFit="1" vertical="center" wrapText="0"/>
    </xf>
    <xf borderId="4" fillId="12" fontId="7" numFmtId="0" xfId="0" applyAlignment="1" applyBorder="1" applyFont="1">
      <alignment horizontal="center" vertical="center"/>
    </xf>
    <xf borderId="4" fillId="13" fontId="7" numFmtId="0" xfId="0" applyAlignment="1" applyBorder="1" applyFont="1">
      <alignment horizontal="center" vertical="center"/>
    </xf>
    <xf borderId="13" fillId="4" fontId="7" numFmtId="0" xfId="0" applyAlignment="1" applyBorder="1" applyFont="1">
      <alignment horizontal="center" vertical="center"/>
    </xf>
    <xf borderId="15" fillId="14" fontId="7" numFmtId="0" xfId="0" applyAlignment="1" applyBorder="1" applyFont="1">
      <alignment horizontal="center" vertical="center"/>
    </xf>
    <xf borderId="4" fillId="15" fontId="7" numFmtId="0" xfId="0" applyAlignment="1" applyBorder="1" applyFont="1">
      <alignment horizontal="center" vertical="center"/>
    </xf>
    <xf borderId="4" fillId="16" fontId="7" numFmtId="0" xfId="0" applyAlignment="1" applyBorder="1" applyFont="1">
      <alignment horizontal="center" vertical="center"/>
    </xf>
    <xf borderId="19" fillId="21" fontId="15" numFmtId="0" xfId="0" applyAlignment="1" applyBorder="1" applyFill="1" applyFont="1">
      <alignment horizontal="center" vertical="center"/>
    </xf>
    <xf borderId="20" fillId="0" fontId="15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center" vertical="center"/>
    </xf>
    <xf borderId="1" fillId="19" fontId="7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horizontal="center"/>
    </xf>
    <xf borderId="1" fillId="0" fontId="11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11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7" fillId="20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4" fillId="0" fontId="5" numFmtId="1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1" t="s">
        <v>1</v>
      </c>
      <c r="U1" s="2"/>
      <c r="V1" s="2"/>
      <c r="W1" s="2"/>
      <c r="X1" s="4" t="s">
        <v>2</v>
      </c>
      <c r="Y1" s="2"/>
      <c r="Z1" s="3"/>
      <c r="AA1" s="5" t="s">
        <v>3</v>
      </c>
      <c r="AB1" s="2"/>
      <c r="AC1" s="2"/>
      <c r="AD1" s="3"/>
    </row>
    <row r="2">
      <c r="A2" s="6"/>
      <c r="B2" s="6"/>
      <c r="C2" s="6"/>
      <c r="D2" s="6"/>
      <c r="E2" s="6"/>
      <c r="F2" s="6"/>
      <c r="G2" s="7"/>
      <c r="H2" s="2"/>
      <c r="I2" s="2"/>
      <c r="J2" s="2"/>
      <c r="K2" s="2"/>
      <c r="L2" s="2"/>
      <c r="M2" s="6"/>
      <c r="N2" s="8"/>
      <c r="O2" s="8"/>
      <c r="P2" s="9" t="s">
        <v>4</v>
      </c>
      <c r="Q2" s="10"/>
      <c r="R2" s="10"/>
      <c r="S2" s="11"/>
      <c r="T2" s="7"/>
      <c r="U2" s="2"/>
      <c r="V2" s="2"/>
      <c r="W2" s="2"/>
      <c r="X2" s="12"/>
      <c r="Y2" s="2"/>
      <c r="Z2" s="3"/>
      <c r="AA2" s="12"/>
      <c r="AB2" s="2"/>
      <c r="AC2" s="2"/>
      <c r="AD2" s="3"/>
    </row>
    <row r="3">
      <c r="A3" s="13" t="s">
        <v>5</v>
      </c>
      <c r="B3" s="14" t="s">
        <v>6</v>
      </c>
      <c r="C3" s="15" t="s">
        <v>7</v>
      </c>
      <c r="D3" s="16" t="s">
        <v>8</v>
      </c>
      <c r="E3" s="17" t="s">
        <v>9</v>
      </c>
      <c r="F3" s="18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20" t="s">
        <v>17</v>
      </c>
      <c r="N3" s="21" t="s">
        <v>18</v>
      </c>
      <c r="O3" s="21" t="s">
        <v>19</v>
      </c>
      <c r="P3" s="22" t="s">
        <v>20</v>
      </c>
      <c r="Q3" s="22" t="s">
        <v>21</v>
      </c>
      <c r="R3" s="22" t="s">
        <v>22</v>
      </c>
      <c r="S3" s="22" t="s">
        <v>23</v>
      </c>
      <c r="T3" s="23" t="s">
        <v>24</v>
      </c>
      <c r="U3" s="24" t="s">
        <v>25</v>
      </c>
      <c r="V3" s="25" t="s">
        <v>26</v>
      </c>
      <c r="W3" s="26" t="s">
        <v>27</v>
      </c>
      <c r="X3" s="27" t="s">
        <v>28</v>
      </c>
      <c r="Y3" s="28" t="s">
        <v>29</v>
      </c>
      <c r="Z3" s="29" t="s">
        <v>23</v>
      </c>
      <c r="AA3" s="30" t="s">
        <v>30</v>
      </c>
      <c r="AB3" s="31" t="s">
        <v>31</v>
      </c>
      <c r="AC3" s="32" t="s">
        <v>32</v>
      </c>
      <c r="AD3" s="33" t="s">
        <v>23</v>
      </c>
    </row>
    <row r="4">
      <c r="A4" s="34">
        <v>1.0</v>
      </c>
      <c r="B4" s="35">
        <f t="shared" ref="B4:B34" si="1">D4-C4</f>
        <v>73</v>
      </c>
      <c r="C4" s="36">
        <v>20.0</v>
      </c>
      <c r="D4" s="37">
        <v>93.0</v>
      </c>
      <c r="E4" s="38">
        <v>1.0</v>
      </c>
      <c r="F4" s="39">
        <v>1.0</v>
      </c>
      <c r="G4" s="40">
        <v>1.0</v>
      </c>
      <c r="H4" s="40">
        <v>2.0</v>
      </c>
      <c r="I4" s="40">
        <v>0.0</v>
      </c>
      <c r="J4" s="40">
        <v>0.0</v>
      </c>
      <c r="K4" s="40">
        <v>0.0</v>
      </c>
      <c r="L4" s="40">
        <v>0.0</v>
      </c>
      <c r="M4" s="37">
        <f t="shared" ref="M4:M34" si="2">D4</f>
        <v>93</v>
      </c>
      <c r="N4" s="41">
        <v>29.0</v>
      </c>
      <c r="O4" s="41">
        <v>0.0</v>
      </c>
      <c r="P4" s="41">
        <v>0.0</v>
      </c>
      <c r="Q4" s="41">
        <v>0.0</v>
      </c>
      <c r="R4" s="41">
        <v>0.0</v>
      </c>
      <c r="S4" s="42">
        <v>0.0</v>
      </c>
      <c r="T4" s="43">
        <v>4.0</v>
      </c>
      <c r="U4" s="44">
        <v>51.0</v>
      </c>
      <c r="V4" s="45">
        <v>38.0</v>
      </c>
      <c r="W4" s="45">
        <v>0.0</v>
      </c>
      <c r="X4" s="46">
        <v>3.0</v>
      </c>
      <c r="Y4" s="47">
        <v>4.0</v>
      </c>
      <c r="Z4" s="48">
        <v>1.0</v>
      </c>
      <c r="AA4" s="49">
        <v>2.0</v>
      </c>
      <c r="AB4" s="50">
        <v>0.0</v>
      </c>
      <c r="AC4" s="51">
        <v>0.0</v>
      </c>
      <c r="AD4" s="52">
        <v>0.0</v>
      </c>
    </row>
    <row r="5">
      <c r="A5" s="34">
        <v>2.0</v>
      </c>
      <c r="B5" s="35">
        <f t="shared" si="1"/>
        <v>70</v>
      </c>
      <c r="C5" s="36">
        <v>18.0</v>
      </c>
      <c r="D5" s="37">
        <v>88.0</v>
      </c>
      <c r="E5" s="38">
        <v>1.0</v>
      </c>
      <c r="F5" s="39">
        <v>3.0</v>
      </c>
      <c r="G5" s="40">
        <v>1.0</v>
      </c>
      <c r="H5" s="40">
        <v>1.0</v>
      </c>
      <c r="I5" s="40">
        <v>0.0</v>
      </c>
      <c r="J5" s="40">
        <v>0.0</v>
      </c>
      <c r="K5" s="40">
        <v>0.0</v>
      </c>
      <c r="L5" s="40">
        <v>0.0</v>
      </c>
      <c r="M5" s="37">
        <f t="shared" si="2"/>
        <v>88</v>
      </c>
      <c r="N5" s="41">
        <v>30.0</v>
      </c>
      <c r="O5" s="41">
        <v>0.0</v>
      </c>
      <c r="P5" s="41">
        <v>0.0</v>
      </c>
      <c r="Q5" s="41">
        <v>0.0</v>
      </c>
      <c r="R5" s="41">
        <v>0.0</v>
      </c>
      <c r="S5" s="42">
        <v>0.0</v>
      </c>
      <c r="T5" s="43">
        <v>4.0</v>
      </c>
      <c r="U5" s="44">
        <v>39.0</v>
      </c>
      <c r="V5" s="45">
        <v>21.0</v>
      </c>
      <c r="W5" s="45">
        <v>24.0</v>
      </c>
      <c r="X5" s="46">
        <v>1.0</v>
      </c>
      <c r="Y5" s="47">
        <v>3.0</v>
      </c>
      <c r="Z5" s="48">
        <v>0.0</v>
      </c>
      <c r="AA5" s="49">
        <v>2.0</v>
      </c>
      <c r="AB5" s="50">
        <v>0.0</v>
      </c>
      <c r="AC5" s="51">
        <v>0.0</v>
      </c>
      <c r="AD5" s="52">
        <v>0.0</v>
      </c>
    </row>
    <row r="6">
      <c r="A6" s="34">
        <v>3.0</v>
      </c>
      <c r="B6" s="35">
        <f t="shared" si="1"/>
        <v>92</v>
      </c>
      <c r="C6" s="36">
        <v>15.0</v>
      </c>
      <c r="D6" s="37">
        <v>107.0</v>
      </c>
      <c r="E6" s="38">
        <v>5.0</v>
      </c>
      <c r="F6" s="39">
        <v>1.0</v>
      </c>
      <c r="G6" s="40">
        <v>3.0</v>
      </c>
      <c r="H6" s="40">
        <v>3.0</v>
      </c>
      <c r="I6" s="40">
        <v>4.0</v>
      </c>
      <c r="J6" s="40">
        <v>1.0</v>
      </c>
      <c r="K6" s="40">
        <v>0.0</v>
      </c>
      <c r="L6" s="40">
        <v>0.0</v>
      </c>
      <c r="M6" s="37">
        <f t="shared" si="2"/>
        <v>107</v>
      </c>
      <c r="N6" s="41">
        <v>21.0</v>
      </c>
      <c r="O6" s="41">
        <v>0.0</v>
      </c>
      <c r="P6" s="41">
        <v>0.0</v>
      </c>
      <c r="Q6" s="41">
        <v>0.0</v>
      </c>
      <c r="R6" s="41">
        <v>0.0</v>
      </c>
      <c r="S6" s="42">
        <v>0.0</v>
      </c>
      <c r="T6" s="43">
        <v>8.0</v>
      </c>
      <c r="U6" s="44">
        <v>48.0</v>
      </c>
      <c r="V6" s="45">
        <v>42.0</v>
      </c>
      <c r="W6" s="45">
        <v>9.0</v>
      </c>
      <c r="X6" s="46">
        <v>2.0</v>
      </c>
      <c r="Y6" s="47">
        <v>9.0</v>
      </c>
      <c r="Z6" s="48">
        <v>3.0</v>
      </c>
      <c r="AA6" s="49">
        <v>2.0</v>
      </c>
      <c r="AB6" s="50">
        <v>0.0</v>
      </c>
      <c r="AC6" s="51">
        <v>0.0</v>
      </c>
      <c r="AD6" s="52">
        <v>0.0</v>
      </c>
    </row>
    <row r="7">
      <c r="A7" s="34">
        <v>4.0</v>
      </c>
      <c r="B7" s="35">
        <f t="shared" si="1"/>
        <v>67</v>
      </c>
      <c r="C7" s="36">
        <v>31.0</v>
      </c>
      <c r="D7" s="37">
        <v>98.0</v>
      </c>
      <c r="E7" s="38">
        <v>3.0</v>
      </c>
      <c r="F7" s="39">
        <v>1.0</v>
      </c>
      <c r="G7" s="40">
        <v>0.0</v>
      </c>
      <c r="H7" s="40">
        <v>3.0</v>
      </c>
      <c r="I7" s="40">
        <v>1.0</v>
      </c>
      <c r="J7" s="40">
        <v>0.0</v>
      </c>
      <c r="K7" s="40">
        <v>0.0</v>
      </c>
      <c r="L7" s="40">
        <v>0.0</v>
      </c>
      <c r="M7" s="37">
        <f t="shared" si="2"/>
        <v>98</v>
      </c>
      <c r="N7" s="41">
        <v>22.0</v>
      </c>
      <c r="O7" s="41">
        <v>0.0</v>
      </c>
      <c r="P7" s="41">
        <v>0.0</v>
      </c>
      <c r="Q7" s="41">
        <v>0.0</v>
      </c>
      <c r="R7" s="41">
        <v>0.0</v>
      </c>
      <c r="S7" s="42">
        <v>0.0</v>
      </c>
      <c r="T7" s="43">
        <v>9.0</v>
      </c>
      <c r="U7" s="44">
        <v>48.0</v>
      </c>
      <c r="V7" s="45">
        <v>29.0</v>
      </c>
      <c r="W7" s="45">
        <v>12.0</v>
      </c>
      <c r="X7" s="46">
        <v>11.0</v>
      </c>
      <c r="Y7" s="47">
        <v>6.0</v>
      </c>
      <c r="Z7" s="48">
        <v>3.0</v>
      </c>
      <c r="AA7" s="49">
        <v>3.0</v>
      </c>
      <c r="AB7" s="50">
        <v>0.0</v>
      </c>
      <c r="AC7" s="51">
        <v>0.0</v>
      </c>
      <c r="AD7" s="52">
        <v>0.0</v>
      </c>
    </row>
    <row r="8">
      <c r="A8" s="34">
        <v>5.0</v>
      </c>
      <c r="B8" s="35">
        <f t="shared" si="1"/>
        <v>57</v>
      </c>
      <c r="C8" s="36">
        <v>24.0</v>
      </c>
      <c r="D8" s="37">
        <v>81.0</v>
      </c>
      <c r="E8" s="38">
        <v>4.0</v>
      </c>
      <c r="F8" s="39">
        <v>2.0</v>
      </c>
      <c r="G8" s="40">
        <v>1.0</v>
      </c>
      <c r="H8" s="40">
        <v>1.0</v>
      </c>
      <c r="I8" s="40">
        <v>1.0</v>
      </c>
      <c r="J8" s="40">
        <v>1.0</v>
      </c>
      <c r="K8" s="40">
        <v>0.0</v>
      </c>
      <c r="L8" s="40">
        <v>1.0</v>
      </c>
      <c r="M8" s="37">
        <f t="shared" si="2"/>
        <v>81</v>
      </c>
      <c r="N8" s="41">
        <v>23.0</v>
      </c>
      <c r="O8" s="41">
        <v>0.0</v>
      </c>
      <c r="P8" s="41">
        <v>1.0</v>
      </c>
      <c r="Q8" s="41">
        <v>0.0</v>
      </c>
      <c r="R8" s="41">
        <v>0.0</v>
      </c>
      <c r="S8" s="42">
        <v>0.0</v>
      </c>
      <c r="T8" s="43">
        <v>6.0</v>
      </c>
      <c r="U8" s="44">
        <v>46.0</v>
      </c>
      <c r="V8" s="45">
        <v>29.0</v>
      </c>
      <c r="W8" s="45">
        <v>0.0</v>
      </c>
      <c r="X8" s="46">
        <v>11.0</v>
      </c>
      <c r="Y8" s="47">
        <v>4.0</v>
      </c>
      <c r="Z8" s="48">
        <v>3.0</v>
      </c>
      <c r="AA8" s="49">
        <v>2.0</v>
      </c>
      <c r="AB8" s="50">
        <v>0.0</v>
      </c>
      <c r="AC8" s="51">
        <v>0.0</v>
      </c>
      <c r="AD8" s="52">
        <v>0.0</v>
      </c>
    </row>
    <row r="9">
      <c r="A9" s="34">
        <v>6.0</v>
      </c>
      <c r="B9" s="35">
        <f t="shared" si="1"/>
        <v>38</v>
      </c>
      <c r="C9" s="36">
        <v>27.0</v>
      </c>
      <c r="D9" s="37">
        <v>65.0</v>
      </c>
      <c r="E9" s="38">
        <v>2.0</v>
      </c>
      <c r="F9" s="39">
        <v>0.0</v>
      </c>
      <c r="G9" s="40">
        <v>2.0</v>
      </c>
      <c r="H9" s="40">
        <v>2.0</v>
      </c>
      <c r="I9" s="40">
        <v>2.0</v>
      </c>
      <c r="J9" s="40">
        <v>0.0</v>
      </c>
      <c r="K9" s="40">
        <v>0.0</v>
      </c>
      <c r="L9" s="40">
        <v>0.0</v>
      </c>
      <c r="M9" s="37">
        <f t="shared" si="2"/>
        <v>65</v>
      </c>
      <c r="N9" s="41">
        <v>22.0</v>
      </c>
      <c r="O9" s="41">
        <v>0.0</v>
      </c>
      <c r="P9" s="41">
        <v>0.0</v>
      </c>
      <c r="Q9" s="41">
        <v>0.0</v>
      </c>
      <c r="R9" s="41">
        <v>0.0</v>
      </c>
      <c r="S9" s="42">
        <v>0.0</v>
      </c>
      <c r="T9" s="43">
        <v>2.0</v>
      </c>
      <c r="U9" s="44">
        <v>38.0</v>
      </c>
      <c r="V9" s="45">
        <v>20.0</v>
      </c>
      <c r="W9" s="45">
        <v>5.0</v>
      </c>
      <c r="X9" s="46">
        <v>8.0</v>
      </c>
      <c r="Y9" s="47">
        <v>5.0</v>
      </c>
      <c r="Z9" s="48">
        <v>0.0</v>
      </c>
      <c r="AA9" s="49">
        <v>3.0</v>
      </c>
      <c r="AB9" s="50">
        <v>0.0</v>
      </c>
      <c r="AC9" s="51">
        <v>0.0</v>
      </c>
      <c r="AD9" s="52">
        <v>0.0</v>
      </c>
    </row>
    <row r="10">
      <c r="A10" s="34">
        <v>7.0</v>
      </c>
      <c r="B10" s="35">
        <f t="shared" si="1"/>
        <v>54</v>
      </c>
      <c r="C10" s="36">
        <v>21.0</v>
      </c>
      <c r="D10" s="37">
        <v>75.0</v>
      </c>
      <c r="E10" s="38">
        <v>6.0</v>
      </c>
      <c r="F10" s="39">
        <v>2.0</v>
      </c>
      <c r="G10" s="40">
        <v>1.0</v>
      </c>
      <c r="H10" s="40">
        <v>7.0</v>
      </c>
      <c r="I10" s="40">
        <v>3.0</v>
      </c>
      <c r="J10" s="40">
        <v>0.0</v>
      </c>
      <c r="K10" s="40">
        <v>0.0</v>
      </c>
      <c r="L10" s="40">
        <v>0.0</v>
      </c>
      <c r="M10" s="37">
        <f t="shared" si="2"/>
        <v>75</v>
      </c>
      <c r="N10" s="41">
        <v>22.0</v>
      </c>
      <c r="O10" s="41">
        <v>0.0</v>
      </c>
      <c r="P10" s="41">
        <v>0.0</v>
      </c>
      <c r="Q10" s="41">
        <v>0.0</v>
      </c>
      <c r="R10" s="41">
        <v>0.0</v>
      </c>
      <c r="S10" s="42">
        <v>0.0</v>
      </c>
      <c r="T10" s="43">
        <v>2.0</v>
      </c>
      <c r="U10" s="44">
        <v>43.0</v>
      </c>
      <c r="V10" s="45">
        <v>30.0</v>
      </c>
      <c r="W10" s="45">
        <v>0.0</v>
      </c>
      <c r="X10" s="46">
        <v>9.0</v>
      </c>
      <c r="Y10" s="47">
        <v>5.0</v>
      </c>
      <c r="Z10" s="48">
        <v>0.0</v>
      </c>
      <c r="AA10" s="49">
        <v>2.0</v>
      </c>
      <c r="AB10" s="50">
        <v>0.0</v>
      </c>
      <c r="AC10" s="51">
        <v>0.0</v>
      </c>
      <c r="AD10" s="52">
        <v>0.0</v>
      </c>
    </row>
    <row r="11">
      <c r="A11" s="34">
        <v>8.0</v>
      </c>
      <c r="B11" s="35">
        <f t="shared" si="1"/>
        <v>58</v>
      </c>
      <c r="C11" s="36">
        <v>25.0</v>
      </c>
      <c r="D11" s="37">
        <v>83.0</v>
      </c>
      <c r="E11" s="38">
        <v>7.0</v>
      </c>
      <c r="F11" s="39">
        <v>2.0</v>
      </c>
      <c r="G11" s="40">
        <v>1.0</v>
      </c>
      <c r="H11" s="40">
        <v>4.0</v>
      </c>
      <c r="I11" s="40">
        <v>3.0</v>
      </c>
      <c r="J11" s="40">
        <v>0.0</v>
      </c>
      <c r="K11" s="40">
        <v>0.0</v>
      </c>
      <c r="L11" s="40">
        <v>0.0</v>
      </c>
      <c r="M11" s="37">
        <f t="shared" si="2"/>
        <v>83</v>
      </c>
      <c r="N11" s="41">
        <v>18.0</v>
      </c>
      <c r="O11" s="41">
        <v>1.0</v>
      </c>
      <c r="P11" s="41">
        <v>0.0</v>
      </c>
      <c r="Q11" s="41">
        <v>0.0</v>
      </c>
      <c r="R11" s="41">
        <v>0.0</v>
      </c>
      <c r="S11" s="42">
        <v>0.0</v>
      </c>
      <c r="T11" s="43">
        <v>10.0</v>
      </c>
      <c r="U11" s="44">
        <v>45.0</v>
      </c>
      <c r="V11" s="45">
        <v>28.0</v>
      </c>
      <c r="W11" s="45">
        <v>0.0</v>
      </c>
      <c r="X11" s="46">
        <v>10.0</v>
      </c>
      <c r="Y11" s="47">
        <v>0.0</v>
      </c>
      <c r="Z11" s="48">
        <v>6.0</v>
      </c>
      <c r="AA11" s="49">
        <v>2.0</v>
      </c>
      <c r="AB11" s="50">
        <v>0.0</v>
      </c>
      <c r="AC11" s="51">
        <v>0.0</v>
      </c>
      <c r="AD11" s="52">
        <v>0.0</v>
      </c>
    </row>
    <row r="12">
      <c r="A12" s="34">
        <v>9.0</v>
      </c>
      <c r="B12" s="35">
        <f t="shared" si="1"/>
        <v>77</v>
      </c>
      <c r="C12" s="36">
        <v>24.0</v>
      </c>
      <c r="D12" s="37">
        <v>101.0</v>
      </c>
      <c r="E12" s="38">
        <v>6.0</v>
      </c>
      <c r="F12" s="39">
        <v>5.0</v>
      </c>
      <c r="G12" s="40">
        <v>1.0</v>
      </c>
      <c r="H12" s="40">
        <v>3.0</v>
      </c>
      <c r="I12" s="40">
        <v>0.0</v>
      </c>
      <c r="J12" s="40">
        <v>0.0</v>
      </c>
      <c r="K12" s="40">
        <v>0.0</v>
      </c>
      <c r="L12" s="40">
        <v>2.0</v>
      </c>
      <c r="M12" s="37">
        <f t="shared" si="2"/>
        <v>101</v>
      </c>
      <c r="N12" s="41">
        <v>29.0</v>
      </c>
      <c r="O12" s="41">
        <v>0.0</v>
      </c>
      <c r="P12" s="41">
        <v>0.0</v>
      </c>
      <c r="Q12" s="41">
        <v>0.0</v>
      </c>
      <c r="R12" s="41">
        <v>0.0</v>
      </c>
      <c r="S12" s="42">
        <v>0.0</v>
      </c>
      <c r="T12" s="43">
        <v>5.0</v>
      </c>
      <c r="U12" s="44">
        <v>45.0</v>
      </c>
      <c r="V12" s="45">
        <v>43.0</v>
      </c>
      <c r="W12" s="45">
        <v>8.0</v>
      </c>
      <c r="X12" s="46">
        <v>5.0</v>
      </c>
      <c r="Y12" s="47">
        <v>4.0</v>
      </c>
      <c r="Z12" s="48">
        <v>2.0</v>
      </c>
      <c r="AA12" s="49">
        <v>3.0</v>
      </c>
      <c r="AB12" s="50">
        <v>0.0</v>
      </c>
      <c r="AC12" s="51">
        <v>0.0</v>
      </c>
      <c r="AD12" s="52">
        <v>0.0</v>
      </c>
    </row>
    <row r="13">
      <c r="A13" s="34">
        <v>10.0</v>
      </c>
      <c r="B13" s="35">
        <f t="shared" si="1"/>
        <v>77</v>
      </c>
      <c r="C13" s="36">
        <v>23.0</v>
      </c>
      <c r="D13" s="37">
        <v>100.0</v>
      </c>
      <c r="E13" s="38">
        <v>4.0</v>
      </c>
      <c r="F13" s="39">
        <v>1.0</v>
      </c>
      <c r="G13" s="40">
        <v>1.0</v>
      </c>
      <c r="H13" s="40">
        <v>1.0</v>
      </c>
      <c r="I13" s="40">
        <v>2.0</v>
      </c>
      <c r="J13" s="40">
        <v>0.0</v>
      </c>
      <c r="K13" s="40">
        <v>0.0</v>
      </c>
      <c r="L13" s="40">
        <v>0.0</v>
      </c>
      <c r="M13" s="37">
        <f t="shared" si="2"/>
        <v>100</v>
      </c>
      <c r="N13" s="41">
        <v>30.0</v>
      </c>
      <c r="O13" s="41">
        <v>1.0</v>
      </c>
      <c r="P13" s="41">
        <v>0.0</v>
      </c>
      <c r="Q13" s="41">
        <v>0.0</v>
      </c>
      <c r="R13" s="41">
        <v>0.0</v>
      </c>
      <c r="S13" s="42">
        <v>0.0</v>
      </c>
      <c r="T13" s="43">
        <v>10.0</v>
      </c>
      <c r="U13" s="44">
        <v>29.0</v>
      </c>
      <c r="V13" s="45">
        <v>55.0</v>
      </c>
      <c r="W13" s="45">
        <v>6.0</v>
      </c>
      <c r="X13" s="46">
        <v>4.0</v>
      </c>
      <c r="Y13" s="47">
        <v>5.0</v>
      </c>
      <c r="Z13" s="48">
        <v>3.0</v>
      </c>
      <c r="AA13" s="49">
        <v>4.0</v>
      </c>
      <c r="AB13" s="50">
        <v>1.0</v>
      </c>
      <c r="AC13" s="51">
        <v>0.0</v>
      </c>
      <c r="AD13" s="52">
        <v>0.0</v>
      </c>
    </row>
    <row r="14">
      <c r="A14" s="34">
        <v>11.0</v>
      </c>
      <c r="B14" s="35">
        <f t="shared" si="1"/>
        <v>63</v>
      </c>
      <c r="C14" s="36">
        <v>28.0</v>
      </c>
      <c r="D14" s="37">
        <v>91.0</v>
      </c>
      <c r="E14" s="38">
        <v>4.0</v>
      </c>
      <c r="F14" s="39">
        <v>1.0</v>
      </c>
      <c r="G14" s="40">
        <v>0.0</v>
      </c>
      <c r="H14" s="40">
        <v>0.0</v>
      </c>
      <c r="I14" s="40">
        <v>0.0</v>
      </c>
      <c r="J14" s="40">
        <v>0.0</v>
      </c>
      <c r="K14" s="40">
        <v>0.0</v>
      </c>
      <c r="L14" s="40">
        <v>1.0</v>
      </c>
      <c r="M14" s="37">
        <f t="shared" si="2"/>
        <v>91</v>
      </c>
      <c r="N14" s="41">
        <v>24.0</v>
      </c>
      <c r="O14" s="41">
        <v>0.0</v>
      </c>
      <c r="P14" s="41">
        <v>0.0</v>
      </c>
      <c r="Q14" s="41">
        <v>0.0</v>
      </c>
      <c r="R14" s="41">
        <v>0.0</v>
      </c>
      <c r="S14" s="42">
        <v>0.0</v>
      </c>
      <c r="T14" s="43">
        <v>6.0</v>
      </c>
      <c r="U14" s="44">
        <v>57.0</v>
      </c>
      <c r="V14" s="45">
        <v>19.0</v>
      </c>
      <c r="W14" s="53">
        <v>9.0</v>
      </c>
      <c r="X14" s="46">
        <v>12.0</v>
      </c>
      <c r="Y14" s="47">
        <v>10.0</v>
      </c>
      <c r="Z14" s="48">
        <v>3.0</v>
      </c>
      <c r="AA14" s="49">
        <v>3.0</v>
      </c>
      <c r="AB14" s="50">
        <v>0.0</v>
      </c>
      <c r="AC14" s="51">
        <v>0.0</v>
      </c>
      <c r="AD14" s="52">
        <v>0.0</v>
      </c>
    </row>
    <row r="15">
      <c r="A15" s="34">
        <v>12.0</v>
      </c>
      <c r="B15" s="35">
        <f t="shared" si="1"/>
        <v>43</v>
      </c>
      <c r="C15" s="36">
        <v>30.0</v>
      </c>
      <c r="D15" s="37">
        <v>73.0</v>
      </c>
      <c r="E15" s="38">
        <v>3.0</v>
      </c>
      <c r="F15" s="39">
        <v>1.0</v>
      </c>
      <c r="G15" s="40">
        <v>1.0</v>
      </c>
      <c r="H15" s="40">
        <v>0.0</v>
      </c>
      <c r="I15" s="40">
        <v>1.0</v>
      </c>
      <c r="J15" s="40">
        <v>0.0</v>
      </c>
      <c r="K15" s="40">
        <v>0.0</v>
      </c>
      <c r="L15" s="40">
        <v>0.0</v>
      </c>
      <c r="M15" s="37">
        <f t="shared" si="2"/>
        <v>73</v>
      </c>
      <c r="N15" s="41">
        <v>18.0</v>
      </c>
      <c r="O15" s="41">
        <v>0.0</v>
      </c>
      <c r="P15" s="54">
        <v>0.0</v>
      </c>
      <c r="Q15" s="54">
        <v>0.0</v>
      </c>
      <c r="R15" s="54">
        <v>0.0</v>
      </c>
      <c r="S15" s="42">
        <v>0.0</v>
      </c>
      <c r="T15" s="43">
        <v>10.0</v>
      </c>
      <c r="U15" s="44">
        <v>35.0</v>
      </c>
      <c r="V15" s="45">
        <v>25.0</v>
      </c>
      <c r="W15" s="55">
        <v>3.0</v>
      </c>
      <c r="X15" s="46">
        <v>11.0</v>
      </c>
      <c r="Y15" s="47">
        <v>7.0</v>
      </c>
      <c r="Z15" s="48">
        <v>0.0</v>
      </c>
      <c r="AA15" s="49">
        <v>3.0</v>
      </c>
      <c r="AB15" s="50">
        <v>0.0</v>
      </c>
      <c r="AC15" s="51">
        <v>0.0</v>
      </c>
      <c r="AD15" s="52">
        <v>0.0</v>
      </c>
    </row>
    <row r="16">
      <c r="A16" s="34">
        <v>13.0</v>
      </c>
      <c r="B16" s="35">
        <f t="shared" si="1"/>
        <v>65</v>
      </c>
      <c r="C16" s="36">
        <v>12.0</v>
      </c>
      <c r="D16" s="37">
        <v>77.0</v>
      </c>
      <c r="E16" s="38">
        <v>4.0</v>
      </c>
      <c r="F16" s="39">
        <v>1.0</v>
      </c>
      <c r="G16" s="40">
        <v>1.0</v>
      </c>
      <c r="H16" s="40">
        <v>4.0</v>
      </c>
      <c r="I16" s="40">
        <v>4.0</v>
      </c>
      <c r="J16" s="40">
        <v>0.0</v>
      </c>
      <c r="K16" s="40">
        <v>0.0</v>
      </c>
      <c r="L16" s="40">
        <v>1.0</v>
      </c>
      <c r="M16" s="37">
        <f t="shared" si="2"/>
        <v>77</v>
      </c>
      <c r="N16" s="41">
        <v>9.0</v>
      </c>
      <c r="O16" s="41">
        <v>0.0</v>
      </c>
      <c r="P16" s="54">
        <v>0.0</v>
      </c>
      <c r="Q16" s="54">
        <v>0.0</v>
      </c>
      <c r="R16" s="54">
        <v>0.0</v>
      </c>
      <c r="S16" s="42">
        <v>0.0</v>
      </c>
      <c r="T16" s="43">
        <v>2.0</v>
      </c>
      <c r="U16" s="44">
        <v>37.0</v>
      </c>
      <c r="V16" s="45">
        <v>37.0</v>
      </c>
      <c r="W16" s="55">
        <v>1.0</v>
      </c>
      <c r="X16" s="46">
        <v>4.0</v>
      </c>
      <c r="Y16" s="47">
        <v>5.0</v>
      </c>
      <c r="Z16" s="48">
        <v>0.0</v>
      </c>
      <c r="AA16" s="49">
        <v>2.0</v>
      </c>
      <c r="AB16" s="50">
        <v>0.0</v>
      </c>
      <c r="AC16" s="51">
        <v>0.0</v>
      </c>
      <c r="AD16" s="52">
        <v>0.0</v>
      </c>
    </row>
    <row r="17">
      <c r="A17" s="34">
        <v>14.0</v>
      </c>
      <c r="B17" s="35">
        <f t="shared" si="1"/>
        <v>63</v>
      </c>
      <c r="C17" s="36">
        <v>18.0</v>
      </c>
      <c r="D17" s="37">
        <v>81.0</v>
      </c>
      <c r="E17" s="38">
        <v>4.0</v>
      </c>
      <c r="F17" s="39">
        <v>1.0</v>
      </c>
      <c r="G17" s="40">
        <v>0.0</v>
      </c>
      <c r="H17" s="40">
        <v>0.0</v>
      </c>
      <c r="I17" s="40">
        <v>3.0</v>
      </c>
      <c r="J17" s="40">
        <v>2.0</v>
      </c>
      <c r="K17" s="40">
        <v>0.0</v>
      </c>
      <c r="L17" s="40">
        <v>0.0</v>
      </c>
      <c r="M17" s="37">
        <f t="shared" si="2"/>
        <v>81</v>
      </c>
      <c r="N17" s="41">
        <v>15.0</v>
      </c>
      <c r="O17" s="41">
        <v>1.0</v>
      </c>
      <c r="P17" s="54">
        <v>0.0</v>
      </c>
      <c r="Q17" s="54">
        <v>0.0</v>
      </c>
      <c r="R17" s="54">
        <v>0.0</v>
      </c>
      <c r="S17" s="42">
        <v>0.0</v>
      </c>
      <c r="T17" s="43">
        <v>10.0</v>
      </c>
      <c r="U17" s="44">
        <v>38.0</v>
      </c>
      <c r="V17" s="45">
        <v>22.0</v>
      </c>
      <c r="W17" s="55">
        <v>11.0</v>
      </c>
      <c r="X17" s="46">
        <v>4.0</v>
      </c>
      <c r="Y17" s="47">
        <v>2.0</v>
      </c>
      <c r="Z17" s="48">
        <v>3.0</v>
      </c>
      <c r="AA17" s="49">
        <v>4.0</v>
      </c>
      <c r="AB17" s="50">
        <v>0.0</v>
      </c>
      <c r="AC17" s="51">
        <v>0.0</v>
      </c>
      <c r="AD17" s="52">
        <v>0.0</v>
      </c>
    </row>
    <row r="18">
      <c r="A18" s="34">
        <v>15.0</v>
      </c>
      <c r="B18" s="35">
        <f t="shared" si="1"/>
        <v>65</v>
      </c>
      <c r="C18" s="36">
        <v>22.0</v>
      </c>
      <c r="D18" s="37">
        <v>87.0</v>
      </c>
      <c r="E18" s="38">
        <v>8.0</v>
      </c>
      <c r="F18" s="39">
        <v>1.0</v>
      </c>
      <c r="G18" s="40">
        <v>1.0</v>
      </c>
      <c r="H18" s="40">
        <v>3.0</v>
      </c>
      <c r="I18" s="40">
        <v>2.0</v>
      </c>
      <c r="J18" s="40">
        <v>1.0</v>
      </c>
      <c r="K18" s="40">
        <v>0.0</v>
      </c>
      <c r="L18" s="40">
        <v>0.0</v>
      </c>
      <c r="M18" s="37">
        <f t="shared" si="2"/>
        <v>87</v>
      </c>
      <c r="N18" s="41">
        <v>24.0</v>
      </c>
      <c r="O18" s="41">
        <v>0.0</v>
      </c>
      <c r="P18" s="54">
        <v>1.0</v>
      </c>
      <c r="Q18" s="54">
        <v>0.0</v>
      </c>
      <c r="R18" s="54">
        <v>0.0</v>
      </c>
      <c r="S18" s="42">
        <v>0.0</v>
      </c>
      <c r="T18" s="43">
        <v>4.0</v>
      </c>
      <c r="U18" s="44">
        <v>51.0</v>
      </c>
      <c r="V18" s="45">
        <v>24.0</v>
      </c>
      <c r="W18" s="55">
        <v>8.0</v>
      </c>
      <c r="X18" s="46">
        <v>9.0</v>
      </c>
      <c r="Y18" s="47">
        <v>4.0</v>
      </c>
      <c r="Z18" s="48">
        <v>0.0</v>
      </c>
      <c r="AA18" s="49">
        <v>1.0</v>
      </c>
      <c r="AB18" s="50">
        <v>0.0</v>
      </c>
      <c r="AC18" s="51">
        <v>1.0</v>
      </c>
      <c r="AD18" s="52">
        <v>0.0</v>
      </c>
    </row>
    <row r="19">
      <c r="A19" s="34">
        <v>16.0</v>
      </c>
      <c r="B19" s="35">
        <f t="shared" si="1"/>
        <v>77</v>
      </c>
      <c r="C19" s="36">
        <v>18.0</v>
      </c>
      <c r="D19" s="37">
        <v>95.0</v>
      </c>
      <c r="E19" s="38">
        <v>1.0</v>
      </c>
      <c r="F19" s="39">
        <v>2.0</v>
      </c>
      <c r="G19" s="40">
        <v>1.0</v>
      </c>
      <c r="H19" s="40">
        <v>2.0</v>
      </c>
      <c r="I19" s="40">
        <v>2.0</v>
      </c>
      <c r="J19" s="40">
        <v>0.0</v>
      </c>
      <c r="K19" s="40">
        <v>0.0</v>
      </c>
      <c r="L19" s="40">
        <v>0.0</v>
      </c>
      <c r="M19" s="37">
        <f t="shared" si="2"/>
        <v>95</v>
      </c>
      <c r="N19" s="41">
        <v>26.0</v>
      </c>
      <c r="O19" s="41">
        <v>2.0</v>
      </c>
      <c r="P19" s="41">
        <v>1.0</v>
      </c>
      <c r="Q19" s="41">
        <v>0.0</v>
      </c>
      <c r="R19" s="41">
        <v>0.0</v>
      </c>
      <c r="S19" s="42">
        <v>0.0</v>
      </c>
      <c r="T19" s="43">
        <v>6.0</v>
      </c>
      <c r="U19" s="44">
        <v>43.0</v>
      </c>
      <c r="V19" s="45">
        <v>46.0</v>
      </c>
      <c r="W19" s="56">
        <v>0.0</v>
      </c>
      <c r="X19" s="46">
        <v>2.0</v>
      </c>
      <c r="Y19" s="47">
        <v>3.0</v>
      </c>
      <c r="Z19" s="48">
        <v>0.0</v>
      </c>
      <c r="AA19" s="49">
        <v>2.0</v>
      </c>
      <c r="AB19" s="50">
        <v>0.0</v>
      </c>
      <c r="AC19" s="51">
        <v>0.0</v>
      </c>
      <c r="AD19" s="52">
        <v>0.0</v>
      </c>
    </row>
    <row r="20">
      <c r="A20" s="34">
        <v>17.0</v>
      </c>
      <c r="B20" s="35">
        <f t="shared" si="1"/>
        <v>92</v>
      </c>
      <c r="C20" s="36">
        <v>29.0</v>
      </c>
      <c r="D20" s="37">
        <v>121.0</v>
      </c>
      <c r="E20" s="38">
        <v>9.0</v>
      </c>
      <c r="F20" s="39">
        <v>3.0</v>
      </c>
      <c r="G20" s="40">
        <v>0.0</v>
      </c>
      <c r="H20" s="40">
        <v>2.0</v>
      </c>
      <c r="I20" s="40">
        <v>0.0</v>
      </c>
      <c r="J20" s="40">
        <v>0.0</v>
      </c>
      <c r="K20" s="40">
        <v>0.0</v>
      </c>
      <c r="L20" s="40">
        <v>0.0</v>
      </c>
      <c r="M20" s="37">
        <f t="shared" si="2"/>
        <v>121</v>
      </c>
      <c r="N20" s="41">
        <v>37.0</v>
      </c>
      <c r="O20" s="41">
        <v>0.0</v>
      </c>
      <c r="P20" s="41">
        <v>0.0</v>
      </c>
      <c r="Q20" s="41">
        <v>0.0</v>
      </c>
      <c r="R20" s="41">
        <v>0.0</v>
      </c>
      <c r="S20" s="42">
        <v>0.0</v>
      </c>
      <c r="T20" s="43">
        <v>11.0</v>
      </c>
      <c r="U20" s="44">
        <v>53.0</v>
      </c>
      <c r="V20" s="45">
        <v>19.0</v>
      </c>
      <c r="W20" s="45">
        <v>38.0</v>
      </c>
      <c r="X20" s="46">
        <v>5.0</v>
      </c>
      <c r="Y20" s="47">
        <v>9.0</v>
      </c>
      <c r="Z20" s="48">
        <v>2.0</v>
      </c>
      <c r="AA20" s="49">
        <v>4.0</v>
      </c>
      <c r="AB20" s="50">
        <v>0.0</v>
      </c>
      <c r="AC20" s="51">
        <v>0.0</v>
      </c>
      <c r="AD20" s="52">
        <v>0.0</v>
      </c>
    </row>
    <row r="21">
      <c r="A21" s="34">
        <v>18.0</v>
      </c>
      <c r="B21" s="35">
        <f t="shared" si="1"/>
        <v>113</v>
      </c>
      <c r="C21" s="36">
        <v>16.0</v>
      </c>
      <c r="D21" s="37">
        <v>129.0</v>
      </c>
      <c r="E21" s="38">
        <v>2.0</v>
      </c>
      <c r="F21" s="39">
        <v>0.0</v>
      </c>
      <c r="G21" s="40">
        <v>0.0</v>
      </c>
      <c r="H21" s="40">
        <v>0.0</v>
      </c>
      <c r="I21" s="40">
        <v>2.0</v>
      </c>
      <c r="J21" s="40">
        <v>0.0</v>
      </c>
      <c r="K21" s="40">
        <v>0.0</v>
      </c>
      <c r="L21" s="40">
        <v>0.0</v>
      </c>
      <c r="M21" s="37">
        <f t="shared" si="2"/>
        <v>129</v>
      </c>
      <c r="N21" s="41">
        <v>36.0</v>
      </c>
      <c r="O21" s="41">
        <v>3.0</v>
      </c>
      <c r="P21" s="41">
        <v>0.0</v>
      </c>
      <c r="Q21" s="41">
        <v>0.0</v>
      </c>
      <c r="R21" s="41">
        <v>0.0</v>
      </c>
      <c r="S21" s="42">
        <v>0.0</v>
      </c>
      <c r="T21" s="43">
        <v>6.0</v>
      </c>
      <c r="U21" s="44">
        <v>60.0</v>
      </c>
      <c r="V21" s="45">
        <v>47.0</v>
      </c>
      <c r="W21" s="45">
        <v>16.0</v>
      </c>
      <c r="X21" s="46">
        <v>7.0</v>
      </c>
      <c r="Y21" s="47">
        <v>5.0</v>
      </c>
      <c r="Z21" s="48">
        <v>0.0</v>
      </c>
      <c r="AA21" s="49">
        <v>2.0</v>
      </c>
      <c r="AB21" s="50">
        <v>0.0</v>
      </c>
      <c r="AC21" s="51">
        <v>0.0</v>
      </c>
      <c r="AD21" s="52">
        <v>2.0</v>
      </c>
    </row>
    <row r="22">
      <c r="A22" s="34">
        <v>19.0</v>
      </c>
      <c r="B22" s="35">
        <f t="shared" si="1"/>
        <v>81</v>
      </c>
      <c r="C22" s="36">
        <v>22.0</v>
      </c>
      <c r="D22" s="37">
        <v>103.0</v>
      </c>
      <c r="E22" s="38">
        <v>8.0</v>
      </c>
      <c r="F22" s="39">
        <v>0.0</v>
      </c>
      <c r="G22" s="40">
        <v>2.0</v>
      </c>
      <c r="H22" s="40">
        <v>3.0</v>
      </c>
      <c r="I22" s="40">
        <v>6.0</v>
      </c>
      <c r="J22" s="40">
        <v>0.0</v>
      </c>
      <c r="K22" s="40">
        <v>0.0</v>
      </c>
      <c r="L22" s="40">
        <v>0.0</v>
      </c>
      <c r="M22" s="37">
        <f t="shared" si="2"/>
        <v>103</v>
      </c>
      <c r="N22" s="41">
        <v>35.0</v>
      </c>
      <c r="O22" s="41">
        <v>0.0</v>
      </c>
      <c r="P22" s="41">
        <v>0.0</v>
      </c>
      <c r="Q22" s="41">
        <v>0.0</v>
      </c>
      <c r="R22" s="41">
        <v>0.0</v>
      </c>
      <c r="S22" s="42">
        <v>0.0</v>
      </c>
      <c r="T22" s="43">
        <v>7.0</v>
      </c>
      <c r="U22" s="44">
        <v>38.0</v>
      </c>
      <c r="V22" s="45">
        <v>42.0</v>
      </c>
      <c r="W22" s="45">
        <v>16.0</v>
      </c>
      <c r="X22" s="46">
        <v>12.0</v>
      </c>
      <c r="Y22" s="47">
        <v>9.0</v>
      </c>
      <c r="Z22" s="48">
        <v>3.0</v>
      </c>
      <c r="AA22" s="49">
        <v>1.0</v>
      </c>
      <c r="AB22" s="50">
        <v>0.0</v>
      </c>
      <c r="AC22" s="51">
        <v>0.0</v>
      </c>
      <c r="AD22" s="52">
        <v>0.0</v>
      </c>
    </row>
    <row r="23">
      <c r="A23" s="34">
        <v>20.0</v>
      </c>
      <c r="B23" s="35">
        <f t="shared" si="1"/>
        <v>77</v>
      </c>
      <c r="C23" s="36">
        <v>19.0</v>
      </c>
      <c r="D23" s="37">
        <v>96.0</v>
      </c>
      <c r="E23" s="38">
        <v>8.0</v>
      </c>
      <c r="F23" s="39">
        <v>1.0</v>
      </c>
      <c r="G23" s="40">
        <v>0.0</v>
      </c>
      <c r="H23" s="40">
        <v>1.0</v>
      </c>
      <c r="I23" s="40">
        <v>1.0</v>
      </c>
      <c r="J23" s="40">
        <v>0.0</v>
      </c>
      <c r="K23" s="40">
        <v>0.0</v>
      </c>
      <c r="L23" s="40">
        <v>1.0</v>
      </c>
      <c r="M23" s="37">
        <f t="shared" si="2"/>
        <v>96</v>
      </c>
      <c r="N23" s="41">
        <v>32.0</v>
      </c>
      <c r="O23" s="41">
        <v>0.0</v>
      </c>
      <c r="P23" s="54">
        <v>1.0</v>
      </c>
      <c r="Q23" s="54">
        <v>0.0</v>
      </c>
      <c r="R23" s="54">
        <v>0.0</v>
      </c>
      <c r="S23" s="42">
        <v>0.0</v>
      </c>
      <c r="T23" s="43">
        <v>8.0</v>
      </c>
      <c r="U23" s="44">
        <v>45.0</v>
      </c>
      <c r="V23" s="45">
        <v>43.0</v>
      </c>
      <c r="W23" s="55">
        <v>0.0</v>
      </c>
      <c r="X23" s="46">
        <v>13.0</v>
      </c>
      <c r="Y23" s="47">
        <v>0.0</v>
      </c>
      <c r="Z23" s="48">
        <v>3.0</v>
      </c>
      <c r="AA23" s="49">
        <v>1.0</v>
      </c>
      <c r="AB23" s="50">
        <v>1.0</v>
      </c>
      <c r="AC23" s="51">
        <v>0.0</v>
      </c>
      <c r="AD23" s="52">
        <v>0.0</v>
      </c>
    </row>
    <row r="24">
      <c r="A24" s="34">
        <v>21.0</v>
      </c>
      <c r="B24" s="35">
        <f t="shared" si="1"/>
        <v>65</v>
      </c>
      <c r="C24" s="36">
        <v>27.0</v>
      </c>
      <c r="D24" s="37">
        <v>92.0</v>
      </c>
      <c r="E24" s="38">
        <v>1.0</v>
      </c>
      <c r="F24" s="39">
        <v>2.0</v>
      </c>
      <c r="G24" s="40">
        <v>3.0</v>
      </c>
      <c r="H24" s="40">
        <v>2.0</v>
      </c>
      <c r="I24" s="40">
        <v>5.0</v>
      </c>
      <c r="J24" s="40">
        <v>0.0</v>
      </c>
      <c r="K24" s="40">
        <v>0.0</v>
      </c>
      <c r="L24" s="40">
        <v>0.0</v>
      </c>
      <c r="M24" s="37">
        <f t="shared" si="2"/>
        <v>92</v>
      </c>
      <c r="N24" s="41">
        <v>30.0</v>
      </c>
      <c r="O24" s="41">
        <v>4.0</v>
      </c>
      <c r="P24" s="54">
        <v>0.0</v>
      </c>
      <c r="Q24" s="54">
        <v>0.0</v>
      </c>
      <c r="R24" s="54">
        <v>0.0</v>
      </c>
      <c r="S24" s="42">
        <v>0.0</v>
      </c>
      <c r="T24" s="43">
        <v>5.0</v>
      </c>
      <c r="U24" s="44">
        <v>50.0</v>
      </c>
      <c r="V24" s="45">
        <v>24.0</v>
      </c>
      <c r="W24" s="55">
        <v>13.0</v>
      </c>
      <c r="X24" s="46">
        <v>13.0</v>
      </c>
      <c r="Y24" s="47">
        <v>3.0</v>
      </c>
      <c r="Z24" s="48">
        <v>2.0</v>
      </c>
      <c r="AA24" s="49">
        <v>3.0</v>
      </c>
      <c r="AB24" s="50">
        <v>0.0</v>
      </c>
      <c r="AC24" s="51">
        <v>0.0</v>
      </c>
      <c r="AD24" s="52">
        <v>0.0</v>
      </c>
    </row>
    <row r="25">
      <c r="A25" s="34">
        <v>22.0</v>
      </c>
      <c r="B25" s="35">
        <f t="shared" si="1"/>
        <v>80</v>
      </c>
      <c r="C25" s="36">
        <v>31.0</v>
      </c>
      <c r="D25" s="37">
        <v>111.0</v>
      </c>
      <c r="E25" s="38">
        <v>4.0</v>
      </c>
      <c r="F25" s="39">
        <v>0.0</v>
      </c>
      <c r="G25" s="40">
        <v>2.0</v>
      </c>
      <c r="H25" s="40">
        <v>3.0</v>
      </c>
      <c r="I25" s="40">
        <v>2.0</v>
      </c>
      <c r="J25" s="40">
        <v>0.0</v>
      </c>
      <c r="K25" s="40">
        <v>0.0</v>
      </c>
      <c r="L25" s="40">
        <v>0.0</v>
      </c>
      <c r="M25" s="37">
        <f t="shared" si="2"/>
        <v>111</v>
      </c>
      <c r="N25" s="41">
        <v>32.0</v>
      </c>
      <c r="O25" s="41">
        <v>0.0</v>
      </c>
      <c r="P25" s="54">
        <v>0.0</v>
      </c>
      <c r="Q25" s="54">
        <v>0.0</v>
      </c>
      <c r="R25" s="54">
        <v>0.0</v>
      </c>
      <c r="S25" s="42">
        <v>0.0</v>
      </c>
      <c r="T25" s="43">
        <v>4.0</v>
      </c>
      <c r="U25" s="44">
        <v>52.0</v>
      </c>
      <c r="V25" s="45">
        <v>48.0</v>
      </c>
      <c r="W25" s="55">
        <v>7.0</v>
      </c>
      <c r="X25" s="46">
        <v>9.0</v>
      </c>
      <c r="Y25" s="47">
        <v>9.0</v>
      </c>
      <c r="Z25" s="48">
        <v>1.0</v>
      </c>
      <c r="AA25" s="49">
        <v>3.0</v>
      </c>
      <c r="AB25" s="50">
        <v>0.0</v>
      </c>
      <c r="AC25" s="51">
        <v>0.0</v>
      </c>
      <c r="AD25" s="52">
        <v>0.0</v>
      </c>
    </row>
    <row r="26">
      <c r="A26" s="34">
        <v>23.0</v>
      </c>
      <c r="B26" s="35">
        <f t="shared" si="1"/>
        <v>89</v>
      </c>
      <c r="C26" s="36">
        <v>21.0</v>
      </c>
      <c r="D26" s="37">
        <v>110.0</v>
      </c>
      <c r="E26" s="38">
        <v>4.0</v>
      </c>
      <c r="F26" s="39">
        <v>1.0</v>
      </c>
      <c r="G26" s="40">
        <v>1.0</v>
      </c>
      <c r="H26" s="40">
        <v>0.0</v>
      </c>
      <c r="I26" s="40">
        <v>1.0</v>
      </c>
      <c r="J26" s="40">
        <v>0.0</v>
      </c>
      <c r="K26" s="40">
        <v>0.0</v>
      </c>
      <c r="L26" s="40">
        <v>0.0</v>
      </c>
      <c r="M26" s="37">
        <f t="shared" si="2"/>
        <v>110</v>
      </c>
      <c r="N26" s="41">
        <v>31.0</v>
      </c>
      <c r="O26" s="41">
        <v>0.0</v>
      </c>
      <c r="P26" s="54">
        <v>0.0</v>
      </c>
      <c r="Q26" s="54">
        <v>0.0</v>
      </c>
      <c r="R26" s="54">
        <v>0.0</v>
      </c>
      <c r="S26" s="42">
        <v>0.0</v>
      </c>
      <c r="T26" s="43">
        <v>7.0</v>
      </c>
      <c r="U26" s="44">
        <v>48.0</v>
      </c>
      <c r="V26" s="45">
        <v>55.0</v>
      </c>
      <c r="W26" s="55">
        <v>0.0</v>
      </c>
      <c r="X26" s="46">
        <v>4.0</v>
      </c>
      <c r="Y26" s="47">
        <v>4.0</v>
      </c>
      <c r="Z26" s="48">
        <v>1.0</v>
      </c>
      <c r="AA26" s="49">
        <v>0.0</v>
      </c>
      <c r="AB26" s="50">
        <v>1.0</v>
      </c>
      <c r="AC26" s="51">
        <v>0.0</v>
      </c>
      <c r="AD26" s="52">
        <v>0.0</v>
      </c>
    </row>
    <row r="27">
      <c r="A27" s="34">
        <v>24.0</v>
      </c>
      <c r="B27" s="35">
        <f t="shared" si="1"/>
        <v>89</v>
      </c>
      <c r="C27" s="36">
        <v>28.0</v>
      </c>
      <c r="D27" s="37">
        <v>117.0</v>
      </c>
      <c r="E27" s="38">
        <v>2.0</v>
      </c>
      <c r="F27" s="39">
        <v>3.0</v>
      </c>
      <c r="G27" s="40">
        <v>0.0</v>
      </c>
      <c r="H27" s="40">
        <v>4.0</v>
      </c>
      <c r="I27" s="40">
        <v>3.0</v>
      </c>
      <c r="J27" s="40">
        <v>0.0</v>
      </c>
      <c r="K27" s="40">
        <v>0.0</v>
      </c>
      <c r="L27" s="40">
        <v>0.0</v>
      </c>
      <c r="M27" s="37">
        <f t="shared" si="2"/>
        <v>117</v>
      </c>
      <c r="N27" s="41">
        <v>37.0</v>
      </c>
      <c r="O27" s="41">
        <v>0.0</v>
      </c>
      <c r="P27" s="54">
        <v>0.0</v>
      </c>
      <c r="Q27" s="54">
        <v>0.0</v>
      </c>
      <c r="R27" s="54">
        <v>0.0</v>
      </c>
      <c r="S27" s="42">
        <v>0.0</v>
      </c>
      <c r="T27" s="43">
        <v>10.0</v>
      </c>
      <c r="U27" s="44">
        <v>54.0</v>
      </c>
      <c r="V27" s="45">
        <v>53.0</v>
      </c>
      <c r="W27" s="55">
        <v>0.0</v>
      </c>
      <c r="X27" s="46">
        <v>3.0</v>
      </c>
      <c r="Y27" s="47">
        <v>4.0</v>
      </c>
      <c r="Z27" s="48">
        <v>0.0</v>
      </c>
      <c r="AA27" s="49">
        <v>3.0</v>
      </c>
      <c r="AB27" s="50">
        <v>0.0</v>
      </c>
      <c r="AC27" s="51">
        <v>0.0</v>
      </c>
      <c r="AD27" s="52">
        <v>0.0</v>
      </c>
    </row>
    <row r="28">
      <c r="A28" s="34">
        <v>25.0</v>
      </c>
      <c r="B28" s="35">
        <f t="shared" si="1"/>
        <v>73</v>
      </c>
      <c r="C28" s="36">
        <v>21.0</v>
      </c>
      <c r="D28" s="37">
        <v>94.0</v>
      </c>
      <c r="E28" s="38">
        <v>5.0</v>
      </c>
      <c r="F28" s="39">
        <v>1.0</v>
      </c>
      <c r="G28" s="40">
        <v>0.0</v>
      </c>
      <c r="H28" s="40">
        <v>0.0</v>
      </c>
      <c r="I28" s="40">
        <v>3.0</v>
      </c>
      <c r="J28" s="40">
        <v>0.0</v>
      </c>
      <c r="K28" s="40">
        <v>0.0</v>
      </c>
      <c r="L28" s="40">
        <v>0.0</v>
      </c>
      <c r="M28" s="37">
        <f t="shared" si="2"/>
        <v>94</v>
      </c>
      <c r="N28" s="41">
        <v>34.0</v>
      </c>
      <c r="O28" s="41">
        <v>0.0</v>
      </c>
      <c r="P28" s="41">
        <v>0.0</v>
      </c>
      <c r="Q28" s="41">
        <v>0.0</v>
      </c>
      <c r="R28" s="41">
        <v>0.0</v>
      </c>
      <c r="S28" s="42">
        <v>0.0</v>
      </c>
      <c r="T28" s="43">
        <v>1.0</v>
      </c>
      <c r="U28" s="44">
        <v>47.0</v>
      </c>
      <c r="V28" s="45">
        <v>46.0</v>
      </c>
      <c r="W28" s="45">
        <v>0.0</v>
      </c>
      <c r="X28" s="46">
        <v>14.0</v>
      </c>
      <c r="Y28" s="47">
        <v>5.0</v>
      </c>
      <c r="Z28" s="48">
        <v>3.0</v>
      </c>
      <c r="AA28" s="49">
        <v>3.0</v>
      </c>
      <c r="AB28" s="50">
        <v>0.0</v>
      </c>
      <c r="AC28" s="51">
        <v>0.0</v>
      </c>
      <c r="AD28" s="52">
        <v>0.0</v>
      </c>
    </row>
    <row r="29">
      <c r="A29" s="34">
        <v>26.0</v>
      </c>
      <c r="B29" s="35">
        <f t="shared" si="1"/>
        <v>75</v>
      </c>
      <c r="C29" s="36">
        <v>18.0</v>
      </c>
      <c r="D29" s="37">
        <v>93.0</v>
      </c>
      <c r="E29" s="38">
        <v>3.0</v>
      </c>
      <c r="F29" s="39">
        <v>0.0</v>
      </c>
      <c r="G29" s="40">
        <v>0.0</v>
      </c>
      <c r="H29" s="40">
        <v>0.0</v>
      </c>
      <c r="I29" s="40">
        <v>0.0</v>
      </c>
      <c r="J29" s="40">
        <v>0.0</v>
      </c>
      <c r="K29" s="40">
        <v>0.0</v>
      </c>
      <c r="L29" s="40">
        <v>0.0</v>
      </c>
      <c r="M29" s="37">
        <f t="shared" si="2"/>
        <v>93</v>
      </c>
      <c r="N29" s="41">
        <v>24.0</v>
      </c>
      <c r="O29" s="41">
        <v>0.0</v>
      </c>
      <c r="P29" s="41">
        <v>0.0</v>
      </c>
      <c r="Q29" s="41">
        <v>0.0</v>
      </c>
      <c r="R29" s="41">
        <v>0.0</v>
      </c>
      <c r="S29" s="42">
        <v>0.0</v>
      </c>
      <c r="T29" s="43">
        <v>4.0</v>
      </c>
      <c r="U29" s="44">
        <v>45.0</v>
      </c>
      <c r="V29" s="45">
        <v>30.0</v>
      </c>
      <c r="W29" s="45">
        <v>14.0</v>
      </c>
      <c r="X29" s="46">
        <v>8.0</v>
      </c>
      <c r="Y29" s="47">
        <v>2.0</v>
      </c>
      <c r="Z29" s="48">
        <v>0.0</v>
      </c>
      <c r="AA29" s="49">
        <v>2.0</v>
      </c>
      <c r="AB29" s="50">
        <v>0.0</v>
      </c>
      <c r="AC29" s="51">
        <v>0.0</v>
      </c>
      <c r="AD29" s="52">
        <v>0.0</v>
      </c>
    </row>
    <row r="30">
      <c r="A30" s="34">
        <v>27.0</v>
      </c>
      <c r="B30" s="35">
        <f t="shared" si="1"/>
        <v>87</v>
      </c>
      <c r="C30" s="36">
        <v>20.0</v>
      </c>
      <c r="D30" s="37">
        <v>107.0</v>
      </c>
      <c r="E30" s="38">
        <v>12.0</v>
      </c>
      <c r="F30" s="39">
        <v>2.0</v>
      </c>
      <c r="G30" s="40">
        <v>0.0</v>
      </c>
      <c r="H30" s="40">
        <v>2.0</v>
      </c>
      <c r="I30" s="40">
        <v>4.0</v>
      </c>
      <c r="J30" s="40">
        <v>1.0</v>
      </c>
      <c r="K30" s="40">
        <v>0.0</v>
      </c>
      <c r="L30" s="40">
        <v>0.0</v>
      </c>
      <c r="M30" s="37">
        <f t="shared" si="2"/>
        <v>107</v>
      </c>
      <c r="N30" s="41">
        <v>36.0</v>
      </c>
      <c r="O30" s="41">
        <v>1.0</v>
      </c>
      <c r="P30" s="41">
        <v>0.0</v>
      </c>
      <c r="Q30" s="41">
        <v>0.0</v>
      </c>
      <c r="R30" s="41">
        <v>0.0</v>
      </c>
      <c r="S30" s="42">
        <v>0.0</v>
      </c>
      <c r="T30" s="43">
        <v>9.0</v>
      </c>
      <c r="U30" s="44">
        <v>58.0</v>
      </c>
      <c r="V30" s="45">
        <v>37.0</v>
      </c>
      <c r="W30" s="45">
        <v>3.0</v>
      </c>
      <c r="X30" s="46">
        <v>14.0</v>
      </c>
      <c r="Y30" s="47">
        <v>3.0</v>
      </c>
      <c r="Z30" s="48">
        <v>2.0</v>
      </c>
      <c r="AA30" s="49">
        <v>7.0</v>
      </c>
      <c r="AB30" s="50">
        <v>1.0</v>
      </c>
      <c r="AC30" s="51">
        <v>0.0</v>
      </c>
      <c r="AD30" s="52">
        <v>0.0</v>
      </c>
    </row>
    <row r="31">
      <c r="A31" s="34">
        <v>28.0</v>
      </c>
      <c r="B31" s="35">
        <f t="shared" si="1"/>
        <v>77</v>
      </c>
      <c r="C31" s="36">
        <v>25.0</v>
      </c>
      <c r="D31" s="37">
        <v>102.0</v>
      </c>
      <c r="E31" s="38">
        <v>9.0</v>
      </c>
      <c r="F31" s="39">
        <v>0.0</v>
      </c>
      <c r="G31" s="40">
        <v>0.0</v>
      </c>
      <c r="H31" s="40">
        <v>5.0</v>
      </c>
      <c r="I31" s="40">
        <v>5.0</v>
      </c>
      <c r="J31" s="40">
        <v>0.0</v>
      </c>
      <c r="K31" s="40">
        <v>0.0</v>
      </c>
      <c r="L31" s="40">
        <v>0.0</v>
      </c>
      <c r="M31" s="37">
        <f t="shared" si="2"/>
        <v>102</v>
      </c>
      <c r="N31" s="41">
        <v>32.0</v>
      </c>
      <c r="O31" s="41">
        <v>0.0</v>
      </c>
      <c r="P31" s="41">
        <v>0.0</v>
      </c>
      <c r="Q31" s="41">
        <v>0.0</v>
      </c>
      <c r="R31" s="41">
        <v>0.0</v>
      </c>
      <c r="S31" s="42">
        <v>0.0</v>
      </c>
      <c r="T31" s="43">
        <v>8.0</v>
      </c>
      <c r="U31" s="44">
        <v>57.0</v>
      </c>
      <c r="V31" s="45">
        <v>31.0</v>
      </c>
      <c r="W31" s="45">
        <v>6.0</v>
      </c>
      <c r="X31" s="46">
        <v>14.0</v>
      </c>
      <c r="Y31" s="47">
        <v>6.0</v>
      </c>
      <c r="Z31" s="48">
        <v>4.0</v>
      </c>
      <c r="AA31" s="49">
        <v>8.0</v>
      </c>
      <c r="AB31" s="50">
        <v>1.0</v>
      </c>
      <c r="AC31" s="51">
        <v>0.0</v>
      </c>
      <c r="AD31" s="52">
        <v>0.0</v>
      </c>
    </row>
    <row r="32">
      <c r="A32" s="34">
        <v>29.0</v>
      </c>
      <c r="B32" s="35">
        <f t="shared" si="1"/>
        <v>73</v>
      </c>
      <c r="C32" s="36">
        <v>18.0</v>
      </c>
      <c r="D32" s="37">
        <v>91.0</v>
      </c>
      <c r="E32" s="38">
        <v>6.0</v>
      </c>
      <c r="F32" s="39">
        <v>0.0</v>
      </c>
      <c r="G32" s="40">
        <v>0.0</v>
      </c>
      <c r="H32" s="40">
        <v>1.0</v>
      </c>
      <c r="I32" s="40">
        <v>2.0</v>
      </c>
      <c r="J32" s="40">
        <v>0.0</v>
      </c>
      <c r="K32" s="40">
        <v>0.0</v>
      </c>
      <c r="L32" s="40">
        <v>0.0</v>
      </c>
      <c r="M32" s="37">
        <f t="shared" si="2"/>
        <v>91</v>
      </c>
      <c r="N32" s="41">
        <v>34.0</v>
      </c>
      <c r="O32" s="41">
        <v>0.0</v>
      </c>
      <c r="P32" s="41">
        <v>0.0</v>
      </c>
      <c r="Q32" s="41">
        <v>0.0</v>
      </c>
      <c r="R32" s="41">
        <v>0.0</v>
      </c>
      <c r="S32" s="42">
        <v>0.0</v>
      </c>
      <c r="T32" s="43">
        <v>5.0</v>
      </c>
      <c r="U32" s="44">
        <v>41.0</v>
      </c>
      <c r="V32" s="45">
        <v>43.0</v>
      </c>
      <c r="W32" s="45">
        <v>2.0</v>
      </c>
      <c r="X32" s="46">
        <v>8.0</v>
      </c>
      <c r="Y32" s="47">
        <v>5.0</v>
      </c>
      <c r="Z32" s="48">
        <v>1.0</v>
      </c>
      <c r="AA32" s="49">
        <v>5.0</v>
      </c>
      <c r="AB32" s="50">
        <v>1.0</v>
      </c>
      <c r="AC32" s="51">
        <v>0.0</v>
      </c>
      <c r="AD32" s="52">
        <v>0.0</v>
      </c>
    </row>
    <row r="33">
      <c r="A33" s="34">
        <v>30.0</v>
      </c>
      <c r="B33" s="35">
        <f t="shared" si="1"/>
        <v>85</v>
      </c>
      <c r="C33" s="36">
        <v>20.0</v>
      </c>
      <c r="D33" s="37">
        <v>105.0</v>
      </c>
      <c r="E33" s="38">
        <v>3.0</v>
      </c>
      <c r="F33" s="39">
        <v>1.0</v>
      </c>
      <c r="G33" s="40">
        <v>0.0</v>
      </c>
      <c r="H33" s="40">
        <v>5.0</v>
      </c>
      <c r="I33" s="40">
        <v>1.0</v>
      </c>
      <c r="J33" s="40">
        <v>1.0</v>
      </c>
      <c r="K33" s="40">
        <v>0.0</v>
      </c>
      <c r="L33" s="40">
        <v>0.0</v>
      </c>
      <c r="M33" s="37">
        <f t="shared" si="2"/>
        <v>105</v>
      </c>
      <c r="N33" s="41">
        <v>26.0</v>
      </c>
      <c r="O33" s="41">
        <v>0.0</v>
      </c>
      <c r="P33" s="41">
        <v>0.0</v>
      </c>
      <c r="Q33" s="41">
        <v>0.0</v>
      </c>
      <c r="R33" s="41">
        <v>0.0</v>
      </c>
      <c r="S33" s="42">
        <v>0.0</v>
      </c>
      <c r="T33" s="43">
        <v>5.0</v>
      </c>
      <c r="U33" s="44">
        <v>55.0</v>
      </c>
      <c r="V33" s="45">
        <v>45.0</v>
      </c>
      <c r="W33" s="45">
        <v>0.0</v>
      </c>
      <c r="X33" s="46">
        <v>3.0</v>
      </c>
      <c r="Y33" s="47">
        <v>5.0</v>
      </c>
      <c r="Z33" s="48">
        <v>2.0</v>
      </c>
      <c r="AA33" s="49">
        <v>1.0</v>
      </c>
      <c r="AB33" s="50">
        <v>1.0</v>
      </c>
      <c r="AC33" s="51">
        <v>0.0</v>
      </c>
      <c r="AD33" s="52">
        <v>0.0</v>
      </c>
    </row>
    <row r="34">
      <c r="A34" s="34">
        <v>31.0</v>
      </c>
      <c r="B34" s="35">
        <f t="shared" si="1"/>
        <v>88</v>
      </c>
      <c r="C34" s="36">
        <v>26.0</v>
      </c>
      <c r="D34" s="37">
        <v>114.0</v>
      </c>
      <c r="E34" s="38">
        <v>4.0</v>
      </c>
      <c r="F34" s="39">
        <v>4.0</v>
      </c>
      <c r="G34" s="40">
        <v>1.0</v>
      </c>
      <c r="H34" s="40">
        <v>1.0</v>
      </c>
      <c r="I34" s="40">
        <v>2.0</v>
      </c>
      <c r="J34" s="40">
        <v>0.0</v>
      </c>
      <c r="K34" s="40">
        <v>0.0</v>
      </c>
      <c r="L34" s="40">
        <v>0.0</v>
      </c>
      <c r="M34" s="37">
        <f t="shared" si="2"/>
        <v>114</v>
      </c>
      <c r="N34" s="41">
        <v>36.0</v>
      </c>
      <c r="O34" s="41">
        <v>0.0</v>
      </c>
      <c r="P34" s="41">
        <v>0.0</v>
      </c>
      <c r="Q34" s="41">
        <v>0.0</v>
      </c>
      <c r="R34" s="41">
        <v>0.0</v>
      </c>
      <c r="S34" s="42">
        <v>0.0</v>
      </c>
      <c r="T34" s="43">
        <v>6.0</v>
      </c>
      <c r="U34" s="44">
        <v>58.0</v>
      </c>
      <c r="V34" s="45">
        <v>47.0</v>
      </c>
      <c r="W34" s="45">
        <v>3.0</v>
      </c>
      <c r="X34" s="46">
        <v>5.0</v>
      </c>
      <c r="Y34" s="47">
        <v>5.0</v>
      </c>
      <c r="Z34" s="48">
        <v>0.0</v>
      </c>
      <c r="AA34" s="49">
        <v>0.0</v>
      </c>
      <c r="AB34" s="50">
        <v>0.0</v>
      </c>
      <c r="AC34" s="51">
        <v>0.0</v>
      </c>
      <c r="AD34" s="52">
        <v>0.0</v>
      </c>
    </row>
    <row r="35">
      <c r="A35" s="57" t="s">
        <v>5</v>
      </c>
      <c r="B35" s="58" t="s">
        <v>6</v>
      </c>
      <c r="C35" s="57" t="s">
        <v>7</v>
      </c>
      <c r="D35" s="59" t="s">
        <v>8</v>
      </c>
      <c r="E35" s="60" t="s">
        <v>9</v>
      </c>
      <c r="F35" s="61" t="s">
        <v>10</v>
      </c>
      <c r="G35" s="19" t="s">
        <v>11</v>
      </c>
      <c r="H35" s="19" t="s">
        <v>12</v>
      </c>
      <c r="I35" s="19" t="s">
        <v>13</v>
      </c>
      <c r="J35" s="19" t="s">
        <v>14</v>
      </c>
      <c r="K35" s="19" t="s">
        <v>15</v>
      </c>
      <c r="L35" s="19" t="s">
        <v>16</v>
      </c>
      <c r="M35" s="20" t="s">
        <v>33</v>
      </c>
      <c r="N35" s="62" t="s">
        <v>18</v>
      </c>
      <c r="O35" s="62" t="s">
        <v>19</v>
      </c>
      <c r="P35" s="63" t="s">
        <v>20</v>
      </c>
      <c r="Q35" s="63" t="s">
        <v>21</v>
      </c>
      <c r="R35" s="63" t="s">
        <v>22</v>
      </c>
      <c r="S35" s="63" t="s">
        <v>23</v>
      </c>
      <c r="T35" s="64" t="s">
        <v>24</v>
      </c>
      <c r="U35" s="65" t="s">
        <v>25</v>
      </c>
      <c r="V35" s="57" t="s">
        <v>34</v>
      </c>
      <c r="W35" s="57" t="s">
        <v>35</v>
      </c>
      <c r="X35" s="66" t="s">
        <v>28</v>
      </c>
      <c r="Y35" s="67" t="s">
        <v>29</v>
      </c>
      <c r="Z35" s="68" t="s">
        <v>23</v>
      </c>
      <c r="AA35" s="58" t="s">
        <v>30</v>
      </c>
      <c r="AB35" s="69" t="s">
        <v>31</v>
      </c>
      <c r="AC35" s="70" t="s">
        <v>32</v>
      </c>
      <c r="AD35" s="71" t="s">
        <v>23</v>
      </c>
    </row>
    <row r="36">
      <c r="A36" s="72" t="s">
        <v>8</v>
      </c>
      <c r="B36" s="58">
        <f t="shared" ref="B36:M36" si="3">SUM(B4:B34)</f>
        <v>2283</v>
      </c>
      <c r="C36" s="73">
        <f t="shared" si="3"/>
        <v>697</v>
      </c>
      <c r="D36" s="59">
        <f t="shared" si="3"/>
        <v>2980</v>
      </c>
      <c r="E36" s="60">
        <f t="shared" si="3"/>
        <v>143</v>
      </c>
      <c r="F36" s="74">
        <f t="shared" si="3"/>
        <v>43</v>
      </c>
      <c r="G36" s="72">
        <f t="shared" si="3"/>
        <v>25</v>
      </c>
      <c r="H36" s="72">
        <f t="shared" si="3"/>
        <v>65</v>
      </c>
      <c r="I36" s="72">
        <f t="shared" si="3"/>
        <v>65</v>
      </c>
      <c r="J36" s="72">
        <f t="shared" si="3"/>
        <v>7</v>
      </c>
      <c r="K36" s="72">
        <f t="shared" si="3"/>
        <v>0</v>
      </c>
      <c r="L36" s="72">
        <f t="shared" si="3"/>
        <v>6</v>
      </c>
      <c r="M36" s="59">
        <f t="shared" si="3"/>
        <v>2980</v>
      </c>
      <c r="N36" s="75">
        <f t="shared" ref="N36:O36" si="4">SUM(N4:N35)</f>
        <v>854</v>
      </c>
      <c r="O36" s="75">
        <f t="shared" si="4"/>
        <v>13</v>
      </c>
      <c r="P36" s="76" t="s">
        <v>4</v>
      </c>
      <c r="Q36" s="2"/>
      <c r="R36" s="2"/>
      <c r="S36" s="3"/>
      <c r="T36" s="64">
        <f t="shared" ref="T36:AD36" si="5">SUM(T4:T34)</f>
        <v>194</v>
      </c>
      <c r="U36" s="65">
        <f t="shared" si="5"/>
        <v>1454</v>
      </c>
      <c r="V36" s="57">
        <f t="shared" si="5"/>
        <v>1118</v>
      </c>
      <c r="W36" s="57">
        <f t="shared" si="5"/>
        <v>214</v>
      </c>
      <c r="X36" s="66">
        <f t="shared" si="5"/>
        <v>238</v>
      </c>
      <c r="Y36" s="67">
        <f t="shared" si="5"/>
        <v>150</v>
      </c>
      <c r="Z36" s="68">
        <f t="shared" si="5"/>
        <v>51</v>
      </c>
      <c r="AA36" s="58">
        <f t="shared" si="5"/>
        <v>83</v>
      </c>
      <c r="AB36" s="69">
        <f t="shared" si="5"/>
        <v>7</v>
      </c>
      <c r="AC36" s="70">
        <f t="shared" si="5"/>
        <v>1</v>
      </c>
      <c r="AD36" s="71">
        <f t="shared" si="5"/>
        <v>2</v>
      </c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8"/>
      <c r="O37" s="8"/>
      <c r="P37" s="75">
        <f t="shared" ref="P37:S37" si="6">SUM(P4:P34)</f>
        <v>4</v>
      </c>
      <c r="Q37" s="75">
        <f t="shared" si="6"/>
        <v>0</v>
      </c>
      <c r="R37" s="75">
        <f t="shared" si="6"/>
        <v>0</v>
      </c>
      <c r="S37" s="75">
        <f t="shared" si="6"/>
        <v>0</v>
      </c>
      <c r="T37" s="7"/>
      <c r="U37" s="3"/>
      <c r="V37" s="77">
        <f>SUM(V36,W36)</f>
        <v>1332</v>
      </c>
      <c r="W37" s="78"/>
      <c r="X37" s="7"/>
      <c r="Y37" s="2"/>
      <c r="Z37" s="3"/>
      <c r="AA37" s="7"/>
      <c r="AB37" s="2"/>
      <c r="AC37" s="2"/>
      <c r="AD37" s="3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79"/>
      <c r="O38" s="80"/>
      <c r="P38" s="2"/>
      <c r="Q38" s="2"/>
      <c r="R38" s="2"/>
      <c r="S38" s="3"/>
      <c r="T38" s="81">
        <f>SUM(T36,U36,V37)</f>
        <v>2980</v>
      </c>
      <c r="U38" s="2"/>
      <c r="V38" s="2"/>
      <c r="W38" s="78"/>
      <c r="X38" s="82">
        <f>SUM(X36:Z36)</f>
        <v>439</v>
      </c>
      <c r="Y38" s="2"/>
      <c r="Z38" s="3"/>
      <c r="AA38" s="82">
        <f>SUM(AA36:AD36)</f>
        <v>93</v>
      </c>
      <c r="AB38" s="2"/>
      <c r="AC38" s="2"/>
      <c r="AD38" s="3"/>
    </row>
  </sheetData>
  <mergeCells count="20">
    <mergeCell ref="A1:S1"/>
    <mergeCell ref="T1:W1"/>
    <mergeCell ref="X1:Z1"/>
    <mergeCell ref="AA1:AD1"/>
    <mergeCell ref="G2:L2"/>
    <mergeCell ref="P2:S2"/>
    <mergeCell ref="T2:W2"/>
    <mergeCell ref="A37:M37"/>
    <mergeCell ref="A38:M38"/>
    <mergeCell ref="O38:S38"/>
    <mergeCell ref="T38:W38"/>
    <mergeCell ref="X38:Z38"/>
    <mergeCell ref="AA38:AD38"/>
    <mergeCell ref="X2:Z2"/>
    <mergeCell ref="AA2:AD2"/>
    <mergeCell ref="P36:S36"/>
    <mergeCell ref="T37:U37"/>
    <mergeCell ref="V37:W37"/>
    <mergeCell ref="X37:Z37"/>
    <mergeCell ref="AA37:AD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1" t="s">
        <v>1</v>
      </c>
      <c r="U1" s="2"/>
      <c r="V1" s="2"/>
      <c r="W1" s="2"/>
      <c r="X1" s="4" t="s">
        <v>2</v>
      </c>
      <c r="Y1" s="2"/>
      <c r="Z1" s="3"/>
      <c r="AA1" s="5" t="s">
        <v>3</v>
      </c>
      <c r="AB1" s="2"/>
      <c r="AC1" s="2"/>
      <c r="AD1" s="3"/>
    </row>
    <row r="2">
      <c r="A2" s="6"/>
      <c r="B2" s="6"/>
      <c r="C2" s="6"/>
      <c r="D2" s="6"/>
      <c r="E2" s="6"/>
      <c r="F2" s="6"/>
      <c r="G2" s="7"/>
      <c r="H2" s="2"/>
      <c r="I2" s="2"/>
      <c r="J2" s="2"/>
      <c r="K2" s="2"/>
      <c r="L2" s="2"/>
      <c r="M2" s="6"/>
      <c r="N2" s="8"/>
      <c r="O2" s="8"/>
      <c r="P2" s="9" t="s">
        <v>4</v>
      </c>
      <c r="Q2" s="10"/>
      <c r="R2" s="10"/>
      <c r="S2" s="11"/>
      <c r="T2" s="7"/>
      <c r="U2" s="2"/>
      <c r="V2" s="2"/>
      <c r="W2" s="2"/>
      <c r="X2" s="12"/>
      <c r="Y2" s="2"/>
      <c r="Z2" s="3"/>
      <c r="AA2" s="12"/>
      <c r="AB2" s="2"/>
      <c r="AC2" s="2"/>
      <c r="AD2" s="3"/>
    </row>
    <row r="3">
      <c r="A3" s="13" t="s">
        <v>5</v>
      </c>
      <c r="B3" s="14" t="s">
        <v>6</v>
      </c>
      <c r="C3" s="15" t="s">
        <v>7</v>
      </c>
      <c r="D3" s="16" t="s">
        <v>8</v>
      </c>
      <c r="E3" s="17" t="s">
        <v>9</v>
      </c>
      <c r="F3" s="18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20" t="s">
        <v>17</v>
      </c>
      <c r="N3" s="21" t="s">
        <v>18</v>
      </c>
      <c r="O3" s="21" t="s">
        <v>19</v>
      </c>
      <c r="P3" s="22" t="s">
        <v>20</v>
      </c>
      <c r="Q3" s="22" t="s">
        <v>21</v>
      </c>
      <c r="R3" s="22" t="s">
        <v>22</v>
      </c>
      <c r="S3" s="22" t="s">
        <v>23</v>
      </c>
      <c r="T3" s="23" t="s">
        <v>24</v>
      </c>
      <c r="U3" s="24" t="s">
        <v>25</v>
      </c>
      <c r="V3" s="25" t="s">
        <v>26</v>
      </c>
      <c r="W3" s="26" t="s">
        <v>27</v>
      </c>
      <c r="X3" s="27" t="s">
        <v>28</v>
      </c>
      <c r="Y3" s="28" t="s">
        <v>29</v>
      </c>
      <c r="Z3" s="29" t="s">
        <v>23</v>
      </c>
      <c r="AA3" s="30" t="s">
        <v>30</v>
      </c>
      <c r="AB3" s="31" t="s">
        <v>31</v>
      </c>
      <c r="AC3" s="32" t="s">
        <v>32</v>
      </c>
      <c r="AD3" s="33" t="s">
        <v>23</v>
      </c>
    </row>
    <row r="4">
      <c r="A4" s="34">
        <v>1.0</v>
      </c>
      <c r="B4" s="35">
        <f t="shared" ref="B4:B34" si="1">D4-C4</f>
        <v>75</v>
      </c>
      <c r="C4" s="36">
        <v>26.0</v>
      </c>
      <c r="D4" s="37">
        <v>101.0</v>
      </c>
      <c r="E4" s="38">
        <v>4.0</v>
      </c>
      <c r="F4" s="39">
        <v>0.0</v>
      </c>
      <c r="G4" s="40">
        <v>0.0</v>
      </c>
      <c r="H4" s="40">
        <v>0.0</v>
      </c>
      <c r="I4" s="40">
        <v>0.0</v>
      </c>
      <c r="J4" s="40">
        <v>0.0</v>
      </c>
      <c r="K4" s="40">
        <v>0.0</v>
      </c>
      <c r="L4" s="40">
        <v>0.0</v>
      </c>
      <c r="M4" s="37">
        <f t="shared" ref="M4:M34" si="2">D4</f>
        <v>101</v>
      </c>
      <c r="N4" s="41">
        <v>38.0</v>
      </c>
      <c r="O4" s="41">
        <v>0.0</v>
      </c>
      <c r="P4" s="41">
        <v>0.0</v>
      </c>
      <c r="Q4" s="41">
        <v>0.0</v>
      </c>
      <c r="R4" s="41">
        <v>0.0</v>
      </c>
      <c r="S4" s="42">
        <v>0.0</v>
      </c>
      <c r="T4" s="43">
        <v>2.0</v>
      </c>
      <c r="U4" s="44">
        <v>55.0</v>
      </c>
      <c r="V4" s="45">
        <v>44.0</v>
      </c>
      <c r="W4" s="45">
        <v>0.0</v>
      </c>
      <c r="X4" s="46">
        <v>14.0</v>
      </c>
      <c r="Y4" s="47">
        <v>7.0</v>
      </c>
      <c r="Z4" s="48">
        <v>0.0</v>
      </c>
      <c r="AA4" s="49">
        <v>6.0</v>
      </c>
      <c r="AB4" s="50">
        <v>0.0</v>
      </c>
      <c r="AC4" s="51">
        <v>0.0</v>
      </c>
      <c r="AD4" s="52">
        <v>0.0</v>
      </c>
    </row>
    <row r="5">
      <c r="A5" s="34">
        <v>2.0</v>
      </c>
      <c r="B5" s="35">
        <f t="shared" si="1"/>
        <v>94</v>
      </c>
      <c r="C5" s="36">
        <v>29.0</v>
      </c>
      <c r="D5" s="37">
        <v>123.0</v>
      </c>
      <c r="E5" s="38">
        <v>6.0</v>
      </c>
      <c r="F5" s="39">
        <v>4.0</v>
      </c>
      <c r="G5" s="40">
        <v>0.0</v>
      </c>
      <c r="H5" s="40">
        <v>2.0</v>
      </c>
      <c r="I5" s="40">
        <v>2.0</v>
      </c>
      <c r="J5" s="40">
        <v>1.0</v>
      </c>
      <c r="K5" s="40">
        <v>0.0</v>
      </c>
      <c r="L5" s="40">
        <v>0.0</v>
      </c>
      <c r="M5" s="37">
        <f t="shared" si="2"/>
        <v>123</v>
      </c>
      <c r="N5" s="41">
        <v>41.0</v>
      </c>
      <c r="O5" s="41">
        <v>0.0</v>
      </c>
      <c r="P5" s="41">
        <v>0.0</v>
      </c>
      <c r="Q5" s="41">
        <v>0.0</v>
      </c>
      <c r="R5" s="41">
        <v>0.0</v>
      </c>
      <c r="S5" s="42">
        <v>0.0</v>
      </c>
      <c r="T5" s="43">
        <v>8.0</v>
      </c>
      <c r="U5" s="44">
        <v>68.0</v>
      </c>
      <c r="V5" s="45">
        <v>47.0</v>
      </c>
      <c r="W5" s="45">
        <v>0.0</v>
      </c>
      <c r="X5" s="46">
        <v>19.0</v>
      </c>
      <c r="Y5" s="47">
        <v>4.0</v>
      </c>
      <c r="Z5" s="48">
        <v>6.0</v>
      </c>
      <c r="AA5" s="49">
        <v>2.0</v>
      </c>
      <c r="AB5" s="50">
        <v>0.0</v>
      </c>
      <c r="AC5" s="51">
        <v>0.0</v>
      </c>
      <c r="AD5" s="52">
        <v>0.0</v>
      </c>
    </row>
    <row r="6">
      <c r="A6" s="34">
        <v>3.0</v>
      </c>
      <c r="B6" s="35">
        <f t="shared" si="1"/>
        <v>64</v>
      </c>
      <c r="C6" s="36">
        <v>24.0</v>
      </c>
      <c r="D6" s="37">
        <v>88.0</v>
      </c>
      <c r="E6" s="38">
        <v>5.0</v>
      </c>
      <c r="F6" s="39">
        <v>0.0</v>
      </c>
      <c r="G6" s="40">
        <v>1.0</v>
      </c>
      <c r="H6" s="40">
        <v>1.0</v>
      </c>
      <c r="I6" s="40">
        <v>4.0</v>
      </c>
      <c r="J6" s="40">
        <v>0.0</v>
      </c>
      <c r="K6" s="40">
        <v>0.0</v>
      </c>
      <c r="L6" s="40">
        <v>0.0</v>
      </c>
      <c r="M6" s="37">
        <f t="shared" si="2"/>
        <v>88</v>
      </c>
      <c r="N6" s="41">
        <v>29.0</v>
      </c>
      <c r="O6" s="41">
        <v>1.0</v>
      </c>
      <c r="P6" s="41">
        <v>0.0</v>
      </c>
      <c r="Q6" s="41">
        <v>0.0</v>
      </c>
      <c r="R6" s="41">
        <v>0.0</v>
      </c>
      <c r="S6" s="42">
        <v>0.0</v>
      </c>
      <c r="T6" s="43">
        <v>4.0</v>
      </c>
      <c r="U6" s="44">
        <v>54.0</v>
      </c>
      <c r="V6" s="45">
        <v>25.0</v>
      </c>
      <c r="W6" s="45">
        <v>5.0</v>
      </c>
      <c r="X6" s="46">
        <v>15.0</v>
      </c>
      <c r="Y6" s="47">
        <v>6.0</v>
      </c>
      <c r="Z6" s="48">
        <v>2.0</v>
      </c>
      <c r="AA6" s="49">
        <v>2.0</v>
      </c>
      <c r="AB6" s="50">
        <v>0.0</v>
      </c>
      <c r="AC6" s="51">
        <v>0.0</v>
      </c>
      <c r="AD6" s="52">
        <v>0.0</v>
      </c>
    </row>
    <row r="7">
      <c r="A7" s="34">
        <v>4.0</v>
      </c>
      <c r="B7" s="35">
        <f t="shared" si="1"/>
        <v>71</v>
      </c>
      <c r="C7" s="36">
        <v>16.0</v>
      </c>
      <c r="D7" s="37">
        <v>87.0</v>
      </c>
      <c r="E7" s="38">
        <v>2.0</v>
      </c>
      <c r="F7" s="39">
        <v>2.0</v>
      </c>
      <c r="G7" s="40">
        <v>1.0</v>
      </c>
      <c r="H7" s="40">
        <v>4.0</v>
      </c>
      <c r="I7" s="40">
        <v>5.0</v>
      </c>
      <c r="J7" s="40">
        <v>0.0</v>
      </c>
      <c r="K7" s="40">
        <v>0.0</v>
      </c>
      <c r="L7" s="40">
        <v>0.0</v>
      </c>
      <c r="M7" s="37">
        <f t="shared" si="2"/>
        <v>87</v>
      </c>
      <c r="N7" s="41">
        <v>21.0</v>
      </c>
      <c r="O7" s="41">
        <v>0.0</v>
      </c>
      <c r="P7" s="41">
        <v>0.0</v>
      </c>
      <c r="Q7" s="41">
        <v>0.0</v>
      </c>
      <c r="R7" s="41">
        <v>0.0</v>
      </c>
      <c r="S7" s="42">
        <v>0.0</v>
      </c>
      <c r="T7" s="43">
        <v>8.0</v>
      </c>
      <c r="U7" s="44">
        <v>45.0</v>
      </c>
      <c r="V7" s="45">
        <v>34.0</v>
      </c>
      <c r="W7" s="45">
        <v>0.0</v>
      </c>
      <c r="X7" s="46">
        <v>9.0</v>
      </c>
      <c r="Y7" s="47">
        <v>0.0</v>
      </c>
      <c r="Z7" s="48">
        <v>5.0</v>
      </c>
      <c r="AA7" s="49">
        <v>1.0</v>
      </c>
      <c r="AB7" s="50">
        <v>0.0</v>
      </c>
      <c r="AC7" s="51">
        <v>0.0</v>
      </c>
      <c r="AD7" s="52">
        <v>0.0</v>
      </c>
    </row>
    <row r="8">
      <c r="A8" s="34">
        <v>5.0</v>
      </c>
      <c r="B8" s="35">
        <f t="shared" si="1"/>
        <v>82</v>
      </c>
      <c r="C8" s="36">
        <v>24.0</v>
      </c>
      <c r="D8" s="37">
        <v>106.0</v>
      </c>
      <c r="E8" s="38">
        <v>3.0</v>
      </c>
      <c r="F8" s="39">
        <v>2.0</v>
      </c>
      <c r="G8" s="40">
        <v>0.0</v>
      </c>
      <c r="H8" s="40">
        <v>2.0</v>
      </c>
      <c r="I8" s="40">
        <v>1.0</v>
      </c>
      <c r="J8" s="40">
        <v>1.0</v>
      </c>
      <c r="K8" s="40">
        <v>0.0</v>
      </c>
      <c r="L8" s="40">
        <v>0.0</v>
      </c>
      <c r="M8" s="37">
        <f t="shared" si="2"/>
        <v>106</v>
      </c>
      <c r="N8" s="41">
        <v>37.0</v>
      </c>
      <c r="O8" s="41">
        <v>0.0</v>
      </c>
      <c r="P8" s="41">
        <v>0.0</v>
      </c>
      <c r="Q8" s="41">
        <v>0.0</v>
      </c>
      <c r="R8" s="41">
        <v>0.0</v>
      </c>
      <c r="S8" s="42">
        <v>0.0</v>
      </c>
      <c r="T8" s="43">
        <v>8.0</v>
      </c>
      <c r="U8" s="44">
        <v>42.0</v>
      </c>
      <c r="V8" s="45">
        <v>56.0</v>
      </c>
      <c r="W8" s="45">
        <v>0.0</v>
      </c>
      <c r="X8" s="46">
        <v>9.0</v>
      </c>
      <c r="Y8" s="47">
        <v>8.0</v>
      </c>
      <c r="Z8" s="48">
        <v>2.0</v>
      </c>
      <c r="AA8" s="49">
        <v>3.0</v>
      </c>
      <c r="AB8" s="50">
        <v>1.0</v>
      </c>
      <c r="AC8" s="51">
        <v>0.0</v>
      </c>
      <c r="AD8" s="52">
        <v>0.0</v>
      </c>
    </row>
    <row r="9">
      <c r="A9" s="34">
        <v>6.0</v>
      </c>
      <c r="B9" s="35">
        <f t="shared" si="1"/>
        <v>68</v>
      </c>
      <c r="C9" s="36">
        <v>23.0</v>
      </c>
      <c r="D9" s="37">
        <v>91.0</v>
      </c>
      <c r="E9" s="38">
        <v>2.0</v>
      </c>
      <c r="F9" s="39">
        <v>1.0</v>
      </c>
      <c r="G9" s="40">
        <v>0.0</v>
      </c>
      <c r="H9" s="40">
        <v>1.0</v>
      </c>
      <c r="I9" s="40">
        <v>2.0</v>
      </c>
      <c r="J9" s="40">
        <v>0.0</v>
      </c>
      <c r="K9" s="40">
        <v>0.0</v>
      </c>
      <c r="L9" s="40">
        <v>0.0</v>
      </c>
      <c r="M9" s="37">
        <f t="shared" si="2"/>
        <v>91</v>
      </c>
      <c r="N9" s="41">
        <v>29.0</v>
      </c>
      <c r="O9" s="41">
        <v>0.0</v>
      </c>
      <c r="P9" s="41">
        <v>0.0</v>
      </c>
      <c r="Q9" s="41">
        <v>0.0</v>
      </c>
      <c r="R9" s="41">
        <v>0.0</v>
      </c>
      <c r="S9" s="42">
        <v>0.0</v>
      </c>
      <c r="T9" s="43">
        <v>6.0</v>
      </c>
      <c r="U9" s="44">
        <v>42.0</v>
      </c>
      <c r="V9" s="45">
        <v>43.0</v>
      </c>
      <c r="W9" s="45">
        <v>0.0</v>
      </c>
      <c r="X9" s="46">
        <v>4.0</v>
      </c>
      <c r="Y9" s="47">
        <v>3.0</v>
      </c>
      <c r="Z9" s="48">
        <v>1.0</v>
      </c>
      <c r="AA9" s="49">
        <v>5.0</v>
      </c>
      <c r="AB9" s="50">
        <v>0.0</v>
      </c>
      <c r="AC9" s="51">
        <v>0.0</v>
      </c>
      <c r="AD9" s="52">
        <v>0.0</v>
      </c>
    </row>
    <row r="10">
      <c r="A10" s="34">
        <v>7.0</v>
      </c>
      <c r="B10" s="35">
        <f t="shared" si="1"/>
        <v>102</v>
      </c>
      <c r="C10" s="36">
        <v>23.0</v>
      </c>
      <c r="D10" s="37">
        <v>125.0</v>
      </c>
      <c r="E10" s="38">
        <v>5.0</v>
      </c>
      <c r="F10" s="39">
        <v>1.0</v>
      </c>
      <c r="G10" s="40">
        <v>0.0</v>
      </c>
      <c r="H10" s="40">
        <v>3.0</v>
      </c>
      <c r="I10" s="40">
        <v>2.0</v>
      </c>
      <c r="J10" s="40">
        <v>1.0</v>
      </c>
      <c r="K10" s="40">
        <v>0.0</v>
      </c>
      <c r="L10" s="40">
        <v>0.0</v>
      </c>
      <c r="M10" s="37">
        <f t="shared" si="2"/>
        <v>125</v>
      </c>
      <c r="N10" s="41">
        <v>49.0</v>
      </c>
      <c r="O10" s="41">
        <v>0.0</v>
      </c>
      <c r="P10" s="41">
        <v>0.0</v>
      </c>
      <c r="Q10" s="41">
        <v>0.0</v>
      </c>
      <c r="R10" s="41">
        <v>0.0</v>
      </c>
      <c r="S10" s="42">
        <v>0.0</v>
      </c>
      <c r="T10" s="43">
        <v>5.0</v>
      </c>
      <c r="U10" s="44">
        <v>51.0</v>
      </c>
      <c r="V10" s="45">
        <v>69.0</v>
      </c>
      <c r="W10" s="45">
        <v>0.0</v>
      </c>
      <c r="X10" s="46">
        <v>3.0</v>
      </c>
      <c r="Y10" s="47">
        <v>3.0</v>
      </c>
      <c r="Z10" s="48">
        <v>4.0</v>
      </c>
      <c r="AA10" s="49">
        <v>1.0</v>
      </c>
      <c r="AB10" s="50">
        <v>0.0</v>
      </c>
      <c r="AC10" s="51">
        <v>0.0</v>
      </c>
      <c r="AD10" s="52">
        <v>0.0</v>
      </c>
    </row>
    <row r="11">
      <c r="A11" s="34">
        <v>8.0</v>
      </c>
      <c r="B11" s="35">
        <f t="shared" si="1"/>
        <v>39</v>
      </c>
      <c r="C11" s="36">
        <v>24.0</v>
      </c>
      <c r="D11" s="37">
        <v>63.0</v>
      </c>
      <c r="E11" s="38">
        <v>6.0</v>
      </c>
      <c r="F11" s="39">
        <v>2.0</v>
      </c>
      <c r="G11" s="40">
        <v>0.0</v>
      </c>
      <c r="H11" s="40">
        <v>1.0</v>
      </c>
      <c r="I11" s="40">
        <v>3.0</v>
      </c>
      <c r="J11" s="40">
        <v>0.0</v>
      </c>
      <c r="K11" s="40">
        <v>1.0</v>
      </c>
      <c r="L11" s="40">
        <v>0.0</v>
      </c>
      <c r="M11" s="37">
        <f t="shared" si="2"/>
        <v>63</v>
      </c>
      <c r="N11" s="41">
        <v>23.0</v>
      </c>
      <c r="O11" s="41">
        <v>0.0</v>
      </c>
      <c r="P11" s="41">
        <v>0.0</v>
      </c>
      <c r="Q11" s="41">
        <v>0.0</v>
      </c>
      <c r="R11" s="41">
        <v>0.0</v>
      </c>
      <c r="S11" s="42">
        <v>0.0</v>
      </c>
      <c r="T11" s="43">
        <v>6.0</v>
      </c>
      <c r="U11" s="44">
        <v>32.0</v>
      </c>
      <c r="V11" s="45">
        <v>25.0</v>
      </c>
      <c r="W11" s="45">
        <v>0.0</v>
      </c>
      <c r="X11" s="46">
        <v>5.0</v>
      </c>
      <c r="Y11" s="47">
        <v>3.0</v>
      </c>
      <c r="Z11" s="48">
        <v>3.0</v>
      </c>
      <c r="AA11" s="49">
        <v>2.0</v>
      </c>
      <c r="AB11" s="50">
        <v>0.0</v>
      </c>
      <c r="AC11" s="51">
        <v>0.0</v>
      </c>
      <c r="AD11" s="52">
        <v>0.0</v>
      </c>
    </row>
    <row r="12">
      <c r="A12" s="34">
        <v>9.0</v>
      </c>
      <c r="B12" s="35">
        <f t="shared" si="1"/>
        <v>60</v>
      </c>
      <c r="C12" s="36">
        <v>30.0</v>
      </c>
      <c r="D12" s="37">
        <v>90.0</v>
      </c>
      <c r="E12" s="38">
        <v>3.0</v>
      </c>
      <c r="F12" s="39">
        <v>0.0</v>
      </c>
      <c r="G12" s="40">
        <v>0.0</v>
      </c>
      <c r="H12" s="40">
        <v>3.0</v>
      </c>
      <c r="I12" s="40">
        <v>3.0</v>
      </c>
      <c r="J12" s="40">
        <v>0.0</v>
      </c>
      <c r="K12" s="40">
        <v>0.0</v>
      </c>
      <c r="L12" s="40">
        <v>0.0</v>
      </c>
      <c r="M12" s="37">
        <f t="shared" si="2"/>
        <v>90</v>
      </c>
      <c r="N12" s="41">
        <v>21.0</v>
      </c>
      <c r="O12" s="41">
        <v>1.0</v>
      </c>
      <c r="P12" s="41">
        <v>0.0</v>
      </c>
      <c r="Q12" s="41">
        <v>0.0</v>
      </c>
      <c r="R12" s="41">
        <v>0.0</v>
      </c>
      <c r="S12" s="42">
        <v>0.0</v>
      </c>
      <c r="T12" s="43">
        <v>6.0</v>
      </c>
      <c r="U12" s="44">
        <v>48.0</v>
      </c>
      <c r="V12" s="45">
        <v>36.0</v>
      </c>
      <c r="W12" s="45">
        <v>0.0</v>
      </c>
      <c r="X12" s="46">
        <v>11.0</v>
      </c>
      <c r="Y12" s="47">
        <v>6.0</v>
      </c>
      <c r="Z12" s="48">
        <v>0.0</v>
      </c>
      <c r="AA12" s="49">
        <v>1.0</v>
      </c>
      <c r="AB12" s="50">
        <v>0.0</v>
      </c>
      <c r="AC12" s="51">
        <v>0.0</v>
      </c>
      <c r="AD12" s="52">
        <v>0.0</v>
      </c>
    </row>
    <row r="13">
      <c r="A13" s="34">
        <v>10.0</v>
      </c>
      <c r="B13" s="35">
        <f t="shared" si="1"/>
        <v>74</v>
      </c>
      <c r="C13" s="36">
        <v>23.0</v>
      </c>
      <c r="D13" s="37">
        <v>97.0</v>
      </c>
      <c r="E13" s="38">
        <v>5.0</v>
      </c>
      <c r="F13" s="39">
        <v>1.0</v>
      </c>
      <c r="G13" s="40">
        <v>0.0</v>
      </c>
      <c r="H13" s="40">
        <v>6.0</v>
      </c>
      <c r="I13" s="40">
        <v>4.0</v>
      </c>
      <c r="J13" s="40">
        <v>0.0</v>
      </c>
      <c r="K13" s="40">
        <v>0.0</v>
      </c>
      <c r="L13" s="40">
        <v>0.0</v>
      </c>
      <c r="M13" s="37">
        <f t="shared" si="2"/>
        <v>97</v>
      </c>
      <c r="N13" s="41">
        <v>32.0</v>
      </c>
      <c r="O13" s="41">
        <v>0.0</v>
      </c>
      <c r="P13" s="41">
        <v>0.0</v>
      </c>
      <c r="Q13" s="41">
        <v>0.0</v>
      </c>
      <c r="R13" s="41">
        <v>0.0</v>
      </c>
      <c r="S13" s="42">
        <v>0.0</v>
      </c>
      <c r="T13" s="43">
        <v>6.0</v>
      </c>
      <c r="U13" s="44">
        <v>53.0</v>
      </c>
      <c r="V13" s="45">
        <v>36.0</v>
      </c>
      <c r="W13" s="45">
        <v>2.0</v>
      </c>
      <c r="X13" s="46">
        <v>15.0</v>
      </c>
      <c r="Y13" s="47">
        <v>3.0</v>
      </c>
      <c r="Z13" s="48">
        <v>4.0</v>
      </c>
      <c r="AA13" s="49">
        <v>4.0</v>
      </c>
      <c r="AB13" s="50">
        <v>0.0</v>
      </c>
      <c r="AC13" s="51">
        <v>0.0</v>
      </c>
      <c r="AD13" s="52">
        <v>0.0</v>
      </c>
    </row>
    <row r="14">
      <c r="A14" s="34">
        <v>11.0</v>
      </c>
      <c r="B14" s="35">
        <f t="shared" si="1"/>
        <v>71</v>
      </c>
      <c r="C14" s="36">
        <v>30.0</v>
      </c>
      <c r="D14" s="37">
        <v>101.0</v>
      </c>
      <c r="E14" s="38">
        <v>10.0</v>
      </c>
      <c r="F14" s="39">
        <v>5.0</v>
      </c>
      <c r="G14" s="40">
        <v>2.0</v>
      </c>
      <c r="H14" s="40">
        <v>2.0</v>
      </c>
      <c r="I14" s="40">
        <v>4.0</v>
      </c>
      <c r="J14" s="40">
        <v>0.0</v>
      </c>
      <c r="K14" s="40">
        <v>0.0</v>
      </c>
      <c r="L14" s="40">
        <v>0.0</v>
      </c>
      <c r="M14" s="37">
        <f t="shared" si="2"/>
        <v>101</v>
      </c>
      <c r="N14" s="41">
        <v>33.0</v>
      </c>
      <c r="O14" s="41">
        <v>1.0</v>
      </c>
      <c r="P14" s="41">
        <v>0.0</v>
      </c>
      <c r="Q14" s="41">
        <v>0.0</v>
      </c>
      <c r="R14" s="41">
        <v>0.0</v>
      </c>
      <c r="S14" s="42">
        <v>0.0</v>
      </c>
      <c r="T14" s="43">
        <v>11.0</v>
      </c>
      <c r="U14" s="44">
        <v>0.0</v>
      </c>
      <c r="V14" s="45">
        <v>54.0</v>
      </c>
      <c r="W14" s="53">
        <v>36.0</v>
      </c>
      <c r="X14" s="46">
        <v>11.0</v>
      </c>
      <c r="Y14" s="47">
        <v>7.0</v>
      </c>
      <c r="Z14" s="48">
        <v>0.0</v>
      </c>
      <c r="AA14" s="49">
        <v>4.0</v>
      </c>
      <c r="AB14" s="50">
        <v>0.0</v>
      </c>
      <c r="AC14" s="51">
        <v>0.0</v>
      </c>
      <c r="AD14" s="52">
        <v>0.0</v>
      </c>
    </row>
    <row r="15">
      <c r="A15" s="34">
        <v>12.0</v>
      </c>
      <c r="B15" s="35">
        <f t="shared" si="1"/>
        <v>67</v>
      </c>
      <c r="C15" s="36">
        <v>13.0</v>
      </c>
      <c r="D15" s="37">
        <v>80.0</v>
      </c>
      <c r="E15" s="38">
        <v>6.0</v>
      </c>
      <c r="F15" s="39">
        <v>0.0</v>
      </c>
      <c r="G15" s="40">
        <v>3.0</v>
      </c>
      <c r="H15" s="40">
        <v>4.0</v>
      </c>
      <c r="I15" s="40">
        <v>1.0</v>
      </c>
      <c r="J15" s="40">
        <v>0.0</v>
      </c>
      <c r="K15" s="40">
        <v>0.0</v>
      </c>
      <c r="L15" s="40">
        <v>0.0</v>
      </c>
      <c r="M15" s="37">
        <f t="shared" si="2"/>
        <v>80</v>
      </c>
      <c r="N15" s="41">
        <v>30.0</v>
      </c>
      <c r="O15" s="41">
        <v>0.0</v>
      </c>
      <c r="P15" s="54">
        <v>0.0</v>
      </c>
      <c r="Q15" s="54">
        <v>0.0</v>
      </c>
      <c r="R15" s="54">
        <v>0.0</v>
      </c>
      <c r="S15" s="42">
        <v>0.0</v>
      </c>
      <c r="T15" s="43">
        <v>3.0</v>
      </c>
      <c r="U15" s="44">
        <v>42.0</v>
      </c>
      <c r="V15" s="45">
        <v>35.0</v>
      </c>
      <c r="W15" s="55">
        <v>0.0</v>
      </c>
      <c r="X15" s="46">
        <v>6.0</v>
      </c>
      <c r="Y15" s="47">
        <v>8.0</v>
      </c>
      <c r="Z15" s="48">
        <v>3.0</v>
      </c>
      <c r="AA15" s="49">
        <v>3.0</v>
      </c>
      <c r="AB15" s="50">
        <v>1.0</v>
      </c>
      <c r="AC15" s="51">
        <v>0.0</v>
      </c>
      <c r="AD15" s="52">
        <v>0.0</v>
      </c>
    </row>
    <row r="16">
      <c r="A16" s="34">
        <v>13.0</v>
      </c>
      <c r="B16" s="35">
        <f t="shared" si="1"/>
        <v>87</v>
      </c>
      <c r="C16" s="36">
        <v>27.0</v>
      </c>
      <c r="D16" s="37">
        <v>114.0</v>
      </c>
      <c r="E16" s="38">
        <v>9.0</v>
      </c>
      <c r="F16" s="39">
        <v>0.0</v>
      </c>
      <c r="G16" s="40">
        <v>1.0</v>
      </c>
      <c r="H16" s="40">
        <v>2.0</v>
      </c>
      <c r="I16" s="40">
        <v>2.0</v>
      </c>
      <c r="J16" s="40">
        <v>0.0</v>
      </c>
      <c r="K16" s="40">
        <v>0.0</v>
      </c>
      <c r="L16" s="40">
        <v>0.0</v>
      </c>
      <c r="M16" s="37">
        <f t="shared" si="2"/>
        <v>114</v>
      </c>
      <c r="N16" s="41">
        <v>32.0</v>
      </c>
      <c r="O16" s="41">
        <v>0.0</v>
      </c>
      <c r="P16" s="54">
        <v>0.0</v>
      </c>
      <c r="Q16" s="54">
        <v>0.0</v>
      </c>
      <c r="R16" s="54">
        <v>0.0</v>
      </c>
      <c r="S16" s="42">
        <v>0.0</v>
      </c>
      <c r="T16" s="43">
        <v>5.0</v>
      </c>
      <c r="U16" s="44">
        <v>43.0</v>
      </c>
      <c r="V16" s="45">
        <v>66.0</v>
      </c>
      <c r="W16" s="55">
        <v>0.0</v>
      </c>
      <c r="X16" s="46">
        <v>9.0</v>
      </c>
      <c r="Y16" s="47">
        <v>8.0</v>
      </c>
      <c r="Z16" s="48">
        <v>1.0</v>
      </c>
      <c r="AA16" s="49">
        <v>6.0</v>
      </c>
      <c r="AB16" s="50">
        <v>2.0</v>
      </c>
      <c r="AC16" s="51">
        <v>0.0</v>
      </c>
      <c r="AD16" s="52">
        <v>0.0</v>
      </c>
    </row>
    <row r="17">
      <c r="A17" s="34">
        <v>14.0</v>
      </c>
      <c r="B17" s="35">
        <f t="shared" si="1"/>
        <v>94</v>
      </c>
      <c r="C17" s="36">
        <v>25.0</v>
      </c>
      <c r="D17" s="37">
        <v>119.0</v>
      </c>
      <c r="E17" s="38">
        <v>12.0</v>
      </c>
      <c r="F17" s="39">
        <v>1.0</v>
      </c>
      <c r="G17" s="40">
        <v>1.0</v>
      </c>
      <c r="H17" s="40">
        <v>3.0</v>
      </c>
      <c r="I17" s="40">
        <v>5.0</v>
      </c>
      <c r="J17" s="40">
        <v>0.0</v>
      </c>
      <c r="K17" s="40">
        <v>0.0</v>
      </c>
      <c r="L17" s="40">
        <v>0.0</v>
      </c>
      <c r="M17" s="37">
        <f t="shared" si="2"/>
        <v>119</v>
      </c>
      <c r="N17" s="41">
        <v>24.0</v>
      </c>
      <c r="O17" s="41">
        <v>2.0</v>
      </c>
      <c r="P17" s="54">
        <v>0.0</v>
      </c>
      <c r="Q17" s="54">
        <v>0.0</v>
      </c>
      <c r="R17" s="54">
        <v>0.0</v>
      </c>
      <c r="S17" s="42">
        <v>0.0</v>
      </c>
      <c r="T17" s="43">
        <v>6.0</v>
      </c>
      <c r="U17" s="44">
        <v>59.0</v>
      </c>
      <c r="V17" s="45">
        <v>48.0</v>
      </c>
      <c r="W17" s="55">
        <v>6.0</v>
      </c>
      <c r="X17" s="46">
        <v>8.0</v>
      </c>
      <c r="Y17" s="47">
        <v>7.0</v>
      </c>
      <c r="Z17" s="48">
        <v>2.0</v>
      </c>
      <c r="AA17" s="49">
        <v>1.0</v>
      </c>
      <c r="AB17" s="50">
        <v>3.0</v>
      </c>
      <c r="AC17" s="51">
        <v>0.0</v>
      </c>
      <c r="AD17" s="52">
        <v>0.0</v>
      </c>
    </row>
    <row r="18">
      <c r="A18" s="34">
        <v>15.0</v>
      </c>
      <c r="B18" s="35">
        <f t="shared" si="1"/>
        <v>78</v>
      </c>
      <c r="C18" s="36">
        <v>30.0</v>
      </c>
      <c r="D18" s="37">
        <v>108.0</v>
      </c>
      <c r="E18" s="38">
        <v>11.0</v>
      </c>
      <c r="F18" s="39">
        <v>1.0</v>
      </c>
      <c r="G18" s="40">
        <v>0.0</v>
      </c>
      <c r="H18" s="40">
        <v>2.0</v>
      </c>
      <c r="I18" s="40">
        <v>1.0</v>
      </c>
      <c r="J18" s="40">
        <v>0.0</v>
      </c>
      <c r="K18" s="40">
        <v>1.0</v>
      </c>
      <c r="L18" s="40">
        <v>0.0</v>
      </c>
      <c r="M18" s="37">
        <f t="shared" si="2"/>
        <v>108</v>
      </c>
      <c r="N18" s="41">
        <v>23.0</v>
      </c>
      <c r="O18" s="41">
        <v>0.0</v>
      </c>
      <c r="P18" s="54">
        <v>0.0</v>
      </c>
      <c r="Q18" s="54">
        <v>0.0</v>
      </c>
      <c r="R18" s="54">
        <v>0.0</v>
      </c>
      <c r="S18" s="42">
        <v>0.0</v>
      </c>
      <c r="T18" s="43">
        <v>6.0</v>
      </c>
      <c r="U18" s="44">
        <v>62.0</v>
      </c>
      <c r="V18" s="45">
        <v>37.0</v>
      </c>
      <c r="W18" s="55">
        <v>3.0</v>
      </c>
      <c r="X18" s="46">
        <v>12.0</v>
      </c>
      <c r="Y18" s="47">
        <v>5.0</v>
      </c>
      <c r="Z18" s="48">
        <v>2.0</v>
      </c>
      <c r="AA18" s="49">
        <v>1.0</v>
      </c>
      <c r="AB18" s="50">
        <v>0.0</v>
      </c>
      <c r="AC18" s="51">
        <v>0.0</v>
      </c>
      <c r="AD18" s="52">
        <v>0.0</v>
      </c>
    </row>
    <row r="19">
      <c r="A19" s="34">
        <v>16.0</v>
      </c>
      <c r="B19" s="35">
        <f t="shared" si="1"/>
        <v>73</v>
      </c>
      <c r="C19" s="36">
        <v>22.0</v>
      </c>
      <c r="D19" s="37">
        <v>95.0</v>
      </c>
      <c r="E19" s="38">
        <v>9.0</v>
      </c>
      <c r="F19" s="39">
        <v>1.0</v>
      </c>
      <c r="G19" s="40">
        <v>3.0</v>
      </c>
      <c r="H19" s="40">
        <v>2.0</v>
      </c>
      <c r="I19" s="40">
        <v>2.0</v>
      </c>
      <c r="J19" s="40">
        <v>0.0</v>
      </c>
      <c r="K19" s="40">
        <v>0.0</v>
      </c>
      <c r="L19" s="40">
        <v>0.0</v>
      </c>
      <c r="M19" s="37">
        <f t="shared" si="2"/>
        <v>95</v>
      </c>
      <c r="N19" s="41">
        <v>24.0</v>
      </c>
      <c r="O19" s="41">
        <v>0.0</v>
      </c>
      <c r="P19" s="41">
        <v>0.0</v>
      </c>
      <c r="Q19" s="41">
        <v>0.0</v>
      </c>
      <c r="R19" s="41">
        <v>0.0</v>
      </c>
      <c r="S19" s="42">
        <v>0.0</v>
      </c>
      <c r="T19" s="43">
        <v>2.0</v>
      </c>
      <c r="U19" s="44">
        <v>45.0</v>
      </c>
      <c r="V19" s="45">
        <v>48.0</v>
      </c>
      <c r="W19" s="56">
        <v>0.0</v>
      </c>
      <c r="X19" s="46">
        <v>7.0</v>
      </c>
      <c r="Y19" s="47">
        <v>5.0</v>
      </c>
      <c r="Z19" s="48">
        <v>0.0</v>
      </c>
      <c r="AA19" s="49">
        <v>5.0</v>
      </c>
      <c r="AB19" s="50">
        <v>0.0</v>
      </c>
      <c r="AC19" s="51">
        <v>0.0</v>
      </c>
      <c r="AD19" s="52">
        <v>0.0</v>
      </c>
    </row>
    <row r="20">
      <c r="A20" s="34">
        <v>17.0</v>
      </c>
      <c r="B20" s="35">
        <f t="shared" si="1"/>
        <v>91</v>
      </c>
      <c r="C20" s="36">
        <v>20.0</v>
      </c>
      <c r="D20" s="37">
        <v>111.0</v>
      </c>
      <c r="E20" s="38">
        <v>7.0</v>
      </c>
      <c r="F20" s="39">
        <v>0.0</v>
      </c>
      <c r="G20" s="40">
        <v>0.0</v>
      </c>
      <c r="H20" s="40">
        <v>1.0</v>
      </c>
      <c r="I20" s="40">
        <v>2.0</v>
      </c>
      <c r="J20" s="40">
        <v>0.0</v>
      </c>
      <c r="K20" s="40">
        <v>0.0</v>
      </c>
      <c r="L20" s="40">
        <v>0.0</v>
      </c>
      <c r="M20" s="37">
        <f t="shared" si="2"/>
        <v>111</v>
      </c>
      <c r="N20" s="41">
        <v>32.0</v>
      </c>
      <c r="O20" s="41">
        <v>0.0</v>
      </c>
      <c r="P20" s="41">
        <v>1.0</v>
      </c>
      <c r="Q20" s="41">
        <v>0.0</v>
      </c>
      <c r="R20" s="41">
        <v>0.0</v>
      </c>
      <c r="S20" s="42">
        <v>0.0</v>
      </c>
      <c r="T20" s="43">
        <v>3.0</v>
      </c>
      <c r="U20" s="44">
        <v>50.0</v>
      </c>
      <c r="V20" s="45">
        <v>55.0</v>
      </c>
      <c r="W20" s="45">
        <v>3.0</v>
      </c>
      <c r="X20" s="46">
        <v>7.0</v>
      </c>
      <c r="Y20" s="47">
        <v>1.0</v>
      </c>
      <c r="Z20" s="48">
        <v>1.0</v>
      </c>
      <c r="AA20" s="49">
        <v>3.0</v>
      </c>
      <c r="AB20" s="50">
        <v>0.0</v>
      </c>
      <c r="AC20" s="51">
        <v>0.0</v>
      </c>
      <c r="AD20" s="52">
        <v>0.0</v>
      </c>
    </row>
    <row r="21">
      <c r="A21" s="34">
        <v>18.0</v>
      </c>
      <c r="B21" s="35">
        <f t="shared" si="1"/>
        <v>79</v>
      </c>
      <c r="C21" s="36">
        <v>23.0</v>
      </c>
      <c r="D21" s="37">
        <v>102.0</v>
      </c>
      <c r="E21" s="38">
        <v>4.0</v>
      </c>
      <c r="F21" s="39">
        <v>1.0</v>
      </c>
      <c r="G21" s="40">
        <v>1.0</v>
      </c>
      <c r="H21" s="40">
        <v>1.0</v>
      </c>
      <c r="I21" s="40">
        <v>5.0</v>
      </c>
      <c r="J21" s="40">
        <v>0.0</v>
      </c>
      <c r="K21" s="40">
        <v>0.0</v>
      </c>
      <c r="L21" s="40">
        <v>0.0</v>
      </c>
      <c r="M21" s="37">
        <f t="shared" si="2"/>
        <v>102</v>
      </c>
      <c r="N21" s="41">
        <v>25.0</v>
      </c>
      <c r="O21" s="41">
        <v>1.0</v>
      </c>
      <c r="P21" s="41">
        <v>0.0</v>
      </c>
      <c r="Q21" s="41">
        <v>0.0</v>
      </c>
      <c r="R21" s="41">
        <v>0.0</v>
      </c>
      <c r="S21" s="42">
        <v>0.0</v>
      </c>
      <c r="T21" s="43">
        <v>8.0</v>
      </c>
      <c r="U21" s="44">
        <v>56.0</v>
      </c>
      <c r="V21" s="45">
        <v>38.0</v>
      </c>
      <c r="W21" s="45">
        <v>0.0</v>
      </c>
      <c r="X21" s="46">
        <v>3.0</v>
      </c>
      <c r="Y21" s="47">
        <v>8.0</v>
      </c>
      <c r="Z21" s="48">
        <v>1.0</v>
      </c>
      <c r="AA21" s="49">
        <v>0.0</v>
      </c>
      <c r="AB21" s="50">
        <v>0.0</v>
      </c>
      <c r="AC21" s="51">
        <v>0.0</v>
      </c>
      <c r="AD21" s="52">
        <v>0.0</v>
      </c>
    </row>
    <row r="22">
      <c r="A22" s="34">
        <v>19.0</v>
      </c>
      <c r="B22" s="35">
        <f t="shared" si="1"/>
        <v>60</v>
      </c>
      <c r="C22" s="36">
        <v>27.0</v>
      </c>
      <c r="D22" s="37">
        <v>87.0</v>
      </c>
      <c r="E22" s="38">
        <v>3.0</v>
      </c>
      <c r="F22" s="39">
        <v>1.0</v>
      </c>
      <c r="G22" s="40">
        <v>1.0</v>
      </c>
      <c r="H22" s="40">
        <v>1.0</v>
      </c>
      <c r="I22" s="40">
        <v>0.0</v>
      </c>
      <c r="J22" s="40">
        <v>8.0</v>
      </c>
      <c r="K22" s="40">
        <v>0.0</v>
      </c>
      <c r="L22" s="40">
        <v>0.0</v>
      </c>
      <c r="M22" s="37">
        <f t="shared" si="2"/>
        <v>87</v>
      </c>
      <c r="N22" s="41">
        <v>24.0</v>
      </c>
      <c r="O22" s="41">
        <v>1.0</v>
      </c>
      <c r="P22" s="41">
        <v>0.0</v>
      </c>
      <c r="Q22" s="41">
        <v>0.0</v>
      </c>
      <c r="R22" s="41">
        <v>0.0</v>
      </c>
      <c r="S22" s="42">
        <v>0.0</v>
      </c>
      <c r="T22" s="43">
        <v>3.0</v>
      </c>
      <c r="U22" s="44">
        <v>44.0</v>
      </c>
      <c r="V22" s="45">
        <v>40.0</v>
      </c>
      <c r="W22" s="45">
        <v>0.0</v>
      </c>
      <c r="X22" s="46">
        <v>12.0</v>
      </c>
      <c r="Y22" s="47">
        <v>4.0</v>
      </c>
      <c r="Z22" s="48">
        <v>1.0</v>
      </c>
      <c r="AA22" s="49">
        <v>4.0</v>
      </c>
      <c r="AB22" s="50">
        <v>1.0</v>
      </c>
      <c r="AC22" s="51">
        <v>0.0</v>
      </c>
      <c r="AD22" s="52">
        <v>0.0</v>
      </c>
    </row>
    <row r="23">
      <c r="A23" s="34">
        <v>20.0</v>
      </c>
      <c r="B23" s="35">
        <f t="shared" si="1"/>
        <v>94</v>
      </c>
      <c r="C23" s="36">
        <v>15.0</v>
      </c>
      <c r="D23" s="37">
        <v>109.0</v>
      </c>
      <c r="E23" s="38">
        <v>4.0</v>
      </c>
      <c r="F23" s="39">
        <v>1.0</v>
      </c>
      <c r="G23" s="40">
        <v>0.0</v>
      </c>
      <c r="H23" s="40">
        <v>1.0</v>
      </c>
      <c r="I23" s="40">
        <v>0.0</v>
      </c>
      <c r="J23" s="40">
        <v>0.0</v>
      </c>
      <c r="K23" s="40">
        <v>0.0</v>
      </c>
      <c r="L23" s="40">
        <v>0.0</v>
      </c>
      <c r="M23" s="37">
        <f t="shared" si="2"/>
        <v>109</v>
      </c>
      <c r="N23" s="41">
        <v>27.0</v>
      </c>
      <c r="O23" s="41">
        <v>0.0</v>
      </c>
      <c r="P23" s="54">
        <v>0.0</v>
      </c>
      <c r="Q23" s="54">
        <v>0.0</v>
      </c>
      <c r="R23" s="54">
        <v>0.0</v>
      </c>
      <c r="S23" s="42">
        <v>0.0</v>
      </c>
      <c r="T23" s="43">
        <v>6.0</v>
      </c>
      <c r="U23" s="44">
        <v>49.0</v>
      </c>
      <c r="V23" s="45">
        <v>54.0</v>
      </c>
      <c r="W23" s="55">
        <v>0.0</v>
      </c>
      <c r="X23" s="46">
        <v>5.0</v>
      </c>
      <c r="Y23" s="47">
        <v>4.0</v>
      </c>
      <c r="Z23" s="48">
        <v>1.0</v>
      </c>
      <c r="AA23" s="49">
        <v>3.0</v>
      </c>
      <c r="AB23" s="50">
        <v>0.0</v>
      </c>
      <c r="AC23" s="51">
        <v>0.0</v>
      </c>
      <c r="AD23" s="52">
        <v>0.0</v>
      </c>
    </row>
    <row r="24">
      <c r="A24" s="34">
        <v>21.0</v>
      </c>
      <c r="B24" s="35">
        <f t="shared" si="1"/>
        <v>104</v>
      </c>
      <c r="C24" s="36">
        <v>21.0</v>
      </c>
      <c r="D24" s="37">
        <v>125.0</v>
      </c>
      <c r="E24" s="38">
        <v>2.0</v>
      </c>
      <c r="F24" s="39">
        <v>1.0</v>
      </c>
      <c r="G24" s="40">
        <v>1.0</v>
      </c>
      <c r="H24" s="40">
        <v>1.0</v>
      </c>
      <c r="I24" s="40">
        <v>1.0</v>
      </c>
      <c r="J24" s="40">
        <v>0.0</v>
      </c>
      <c r="K24" s="40">
        <v>0.0</v>
      </c>
      <c r="L24" s="40">
        <v>0.0</v>
      </c>
      <c r="M24" s="37">
        <f t="shared" si="2"/>
        <v>125</v>
      </c>
      <c r="N24" s="41">
        <v>30.0</v>
      </c>
      <c r="O24" s="41">
        <v>0.0</v>
      </c>
      <c r="P24" s="54">
        <v>0.0</v>
      </c>
      <c r="Q24" s="54">
        <v>0.0</v>
      </c>
      <c r="R24" s="54">
        <v>0.0</v>
      </c>
      <c r="S24" s="42">
        <v>0.0</v>
      </c>
      <c r="T24" s="43">
        <v>6.0</v>
      </c>
      <c r="U24" s="44">
        <v>46.0</v>
      </c>
      <c r="V24" s="45">
        <v>73.0</v>
      </c>
      <c r="W24" s="55">
        <v>0.0</v>
      </c>
      <c r="X24" s="46">
        <v>3.0</v>
      </c>
      <c r="Y24" s="47">
        <v>3.0</v>
      </c>
      <c r="Z24" s="48">
        <v>1.0</v>
      </c>
      <c r="AA24" s="49">
        <v>2.0</v>
      </c>
      <c r="AB24" s="50">
        <v>1.0</v>
      </c>
      <c r="AC24" s="51">
        <v>0.0</v>
      </c>
      <c r="AD24" s="52">
        <v>0.0</v>
      </c>
    </row>
    <row r="25">
      <c r="A25" s="34">
        <v>22.0</v>
      </c>
      <c r="B25" s="35">
        <f t="shared" si="1"/>
        <v>68</v>
      </c>
      <c r="C25" s="36">
        <v>23.0</v>
      </c>
      <c r="D25" s="37">
        <v>91.0</v>
      </c>
      <c r="E25" s="38">
        <v>3.0</v>
      </c>
      <c r="F25" s="39">
        <v>1.0</v>
      </c>
      <c r="G25" s="40">
        <v>3.0</v>
      </c>
      <c r="H25" s="40">
        <v>8.0</v>
      </c>
      <c r="I25" s="40">
        <v>1.0</v>
      </c>
      <c r="J25" s="40">
        <v>0.0</v>
      </c>
      <c r="K25" s="40">
        <v>0.0</v>
      </c>
      <c r="L25" s="40">
        <v>0.0</v>
      </c>
      <c r="M25" s="37">
        <f t="shared" si="2"/>
        <v>91</v>
      </c>
      <c r="N25" s="41">
        <v>28.0</v>
      </c>
      <c r="O25" s="41">
        <v>0.0</v>
      </c>
      <c r="P25" s="54">
        <v>0.0</v>
      </c>
      <c r="Q25" s="54">
        <v>0.0</v>
      </c>
      <c r="R25" s="54">
        <v>0.0</v>
      </c>
      <c r="S25" s="42">
        <v>0.0</v>
      </c>
      <c r="T25" s="43">
        <v>5.0</v>
      </c>
      <c r="U25" s="44">
        <v>40.0</v>
      </c>
      <c r="V25" s="45">
        <v>46.0</v>
      </c>
      <c r="W25" s="55">
        <v>0.0</v>
      </c>
      <c r="X25" s="46">
        <v>12.0</v>
      </c>
      <c r="Y25" s="47">
        <v>3.0</v>
      </c>
      <c r="Z25" s="48">
        <v>3.0</v>
      </c>
      <c r="AA25" s="49">
        <v>4.0</v>
      </c>
      <c r="AB25" s="50">
        <v>0.0</v>
      </c>
      <c r="AC25" s="51">
        <v>0.0</v>
      </c>
      <c r="AD25" s="52">
        <v>0.0</v>
      </c>
    </row>
    <row r="26">
      <c r="A26" s="34">
        <v>23.0</v>
      </c>
      <c r="B26" s="35">
        <f t="shared" si="1"/>
        <v>65</v>
      </c>
      <c r="C26" s="36">
        <v>31.0</v>
      </c>
      <c r="D26" s="37">
        <v>96.0</v>
      </c>
      <c r="E26" s="38">
        <v>4.0</v>
      </c>
      <c r="F26" s="39">
        <v>0.0</v>
      </c>
      <c r="G26" s="40">
        <v>2.0</v>
      </c>
      <c r="H26" s="40">
        <v>3.0</v>
      </c>
      <c r="I26" s="40">
        <v>2.0</v>
      </c>
      <c r="J26" s="40">
        <v>0.0</v>
      </c>
      <c r="K26" s="40">
        <v>1.0</v>
      </c>
      <c r="L26" s="40">
        <v>0.0</v>
      </c>
      <c r="M26" s="37">
        <f t="shared" si="2"/>
        <v>96</v>
      </c>
      <c r="N26" s="41">
        <v>24.0</v>
      </c>
      <c r="O26" s="41">
        <v>0.0</v>
      </c>
      <c r="P26" s="54">
        <v>0.0</v>
      </c>
      <c r="Q26" s="54">
        <v>0.0</v>
      </c>
      <c r="R26" s="54">
        <v>0.0</v>
      </c>
      <c r="S26" s="42">
        <v>0.0</v>
      </c>
      <c r="T26" s="43">
        <v>9.0</v>
      </c>
      <c r="U26" s="44">
        <v>48.0</v>
      </c>
      <c r="V26" s="45">
        <v>39.0</v>
      </c>
      <c r="W26" s="55">
        <v>0.0</v>
      </c>
      <c r="X26" s="46">
        <v>16.0</v>
      </c>
      <c r="Y26" s="47">
        <v>4.0</v>
      </c>
      <c r="Z26" s="48">
        <v>1.0</v>
      </c>
      <c r="AA26" s="49">
        <v>4.0</v>
      </c>
      <c r="AB26" s="50">
        <v>0.0</v>
      </c>
      <c r="AC26" s="51">
        <v>0.0</v>
      </c>
      <c r="AD26" s="52">
        <v>0.0</v>
      </c>
    </row>
    <row r="27">
      <c r="A27" s="34">
        <v>24.0</v>
      </c>
      <c r="B27" s="35">
        <f t="shared" si="1"/>
        <v>51</v>
      </c>
      <c r="C27" s="36">
        <v>33.0</v>
      </c>
      <c r="D27" s="37">
        <v>84.0</v>
      </c>
      <c r="E27" s="38">
        <v>5.0</v>
      </c>
      <c r="F27" s="39">
        <v>2.0</v>
      </c>
      <c r="G27" s="40">
        <v>0.0</v>
      </c>
      <c r="H27" s="40">
        <v>0.0</v>
      </c>
      <c r="I27" s="40">
        <v>0.0</v>
      </c>
      <c r="J27" s="40">
        <v>0.0</v>
      </c>
      <c r="K27" s="40">
        <v>0.0</v>
      </c>
      <c r="L27" s="40">
        <v>0.0</v>
      </c>
      <c r="M27" s="37">
        <f t="shared" si="2"/>
        <v>84</v>
      </c>
      <c r="N27" s="41">
        <v>25.0</v>
      </c>
      <c r="O27" s="41">
        <v>1.0</v>
      </c>
      <c r="P27" s="54">
        <v>0.0</v>
      </c>
      <c r="Q27" s="54">
        <v>0.0</v>
      </c>
      <c r="R27" s="54">
        <v>0.0</v>
      </c>
      <c r="S27" s="42">
        <v>0.0</v>
      </c>
      <c r="T27" s="43">
        <v>3.0</v>
      </c>
      <c r="U27" s="44">
        <v>45.0</v>
      </c>
      <c r="V27" s="45">
        <v>36.0</v>
      </c>
      <c r="W27" s="55">
        <v>0.0</v>
      </c>
      <c r="X27" s="46">
        <v>13.0</v>
      </c>
      <c r="Y27" s="47">
        <v>1.0</v>
      </c>
      <c r="Z27" s="48">
        <v>1.0</v>
      </c>
      <c r="AA27" s="49">
        <v>4.0</v>
      </c>
      <c r="AB27" s="50">
        <v>0.0</v>
      </c>
      <c r="AC27" s="51">
        <v>0.0</v>
      </c>
      <c r="AD27" s="52">
        <v>0.0</v>
      </c>
    </row>
    <row r="28">
      <c r="A28" s="34">
        <v>25.0</v>
      </c>
      <c r="B28" s="35">
        <f t="shared" si="1"/>
        <v>59</v>
      </c>
      <c r="C28" s="36">
        <v>19.0</v>
      </c>
      <c r="D28" s="37">
        <v>78.0</v>
      </c>
      <c r="E28" s="38">
        <v>3.0</v>
      </c>
      <c r="F28" s="39">
        <v>1.0</v>
      </c>
      <c r="G28" s="40">
        <v>1.0</v>
      </c>
      <c r="H28" s="40">
        <v>1.0</v>
      </c>
      <c r="I28" s="40">
        <v>0.0</v>
      </c>
      <c r="J28" s="40">
        <v>0.0</v>
      </c>
      <c r="K28" s="40">
        <v>0.0</v>
      </c>
      <c r="L28" s="40">
        <v>0.0</v>
      </c>
      <c r="M28" s="37">
        <f t="shared" si="2"/>
        <v>78</v>
      </c>
      <c r="N28" s="41">
        <v>22.0</v>
      </c>
      <c r="O28" s="41">
        <v>0.0</v>
      </c>
      <c r="P28" s="41">
        <v>0.0</v>
      </c>
      <c r="Q28" s="41">
        <v>0.0</v>
      </c>
      <c r="R28" s="41">
        <v>0.0</v>
      </c>
      <c r="S28" s="42">
        <v>0.0</v>
      </c>
      <c r="T28" s="43">
        <v>4.0</v>
      </c>
      <c r="U28" s="44">
        <v>35.0</v>
      </c>
      <c r="V28" s="45">
        <v>39.0</v>
      </c>
      <c r="W28" s="45">
        <v>0.0</v>
      </c>
      <c r="X28" s="46">
        <v>10.0</v>
      </c>
      <c r="Y28" s="47">
        <v>3.0</v>
      </c>
      <c r="Z28" s="48">
        <v>2.0</v>
      </c>
      <c r="AA28" s="49">
        <v>0.0</v>
      </c>
      <c r="AB28" s="50">
        <v>0.0</v>
      </c>
      <c r="AC28" s="51">
        <v>0.0</v>
      </c>
      <c r="AD28" s="52">
        <v>0.0</v>
      </c>
    </row>
    <row r="29">
      <c r="A29" s="34">
        <v>26.0</v>
      </c>
      <c r="B29" s="35">
        <f t="shared" si="1"/>
        <v>60</v>
      </c>
      <c r="C29" s="36">
        <v>24.0</v>
      </c>
      <c r="D29" s="37">
        <v>84.0</v>
      </c>
      <c r="E29" s="38">
        <v>3.0</v>
      </c>
      <c r="F29" s="39">
        <v>1.0</v>
      </c>
      <c r="G29" s="40">
        <v>0.0</v>
      </c>
      <c r="H29" s="40">
        <v>0.0</v>
      </c>
      <c r="I29" s="40">
        <v>0.0</v>
      </c>
      <c r="J29" s="40">
        <v>1.0</v>
      </c>
      <c r="K29" s="40">
        <v>0.0</v>
      </c>
      <c r="L29" s="40">
        <v>0.0</v>
      </c>
      <c r="M29" s="37">
        <f t="shared" si="2"/>
        <v>84</v>
      </c>
      <c r="N29" s="41">
        <v>18.0</v>
      </c>
      <c r="O29" s="41">
        <v>2.0</v>
      </c>
      <c r="P29" s="41">
        <v>0.0</v>
      </c>
      <c r="Q29" s="41">
        <v>0.0</v>
      </c>
      <c r="R29" s="41">
        <v>0.0</v>
      </c>
      <c r="S29" s="42">
        <v>0.0</v>
      </c>
      <c r="T29" s="43">
        <v>7.0</v>
      </c>
      <c r="U29" s="44">
        <v>48.0</v>
      </c>
      <c r="V29" s="45">
        <v>29.0</v>
      </c>
      <c r="W29" s="45">
        <v>0.0</v>
      </c>
      <c r="X29" s="46">
        <v>7.0</v>
      </c>
      <c r="Y29" s="47">
        <v>6.0</v>
      </c>
      <c r="Z29" s="48">
        <v>1.0</v>
      </c>
      <c r="AA29" s="49">
        <v>5.0</v>
      </c>
      <c r="AB29" s="50">
        <v>0.0</v>
      </c>
      <c r="AC29" s="51">
        <v>0.0</v>
      </c>
      <c r="AD29" s="52">
        <v>0.0</v>
      </c>
    </row>
    <row r="30">
      <c r="A30" s="34">
        <v>27.0</v>
      </c>
      <c r="B30" s="35">
        <f t="shared" si="1"/>
        <v>85</v>
      </c>
      <c r="C30" s="36">
        <v>26.0</v>
      </c>
      <c r="D30" s="37">
        <v>111.0</v>
      </c>
      <c r="E30" s="38">
        <v>7.0</v>
      </c>
      <c r="F30" s="39">
        <v>0.0</v>
      </c>
      <c r="G30" s="40">
        <v>1.0</v>
      </c>
      <c r="H30" s="40">
        <v>2.0</v>
      </c>
      <c r="I30" s="40">
        <v>1.0</v>
      </c>
      <c r="J30" s="40">
        <v>1.0</v>
      </c>
      <c r="K30" s="40">
        <v>0.0</v>
      </c>
      <c r="L30" s="40">
        <v>1.0</v>
      </c>
      <c r="M30" s="37">
        <f t="shared" si="2"/>
        <v>111</v>
      </c>
      <c r="N30" s="41">
        <v>25.0</v>
      </c>
      <c r="O30" s="41">
        <v>0.0</v>
      </c>
      <c r="P30" s="41">
        <v>0.0</v>
      </c>
      <c r="Q30" s="41">
        <v>0.0</v>
      </c>
      <c r="R30" s="41">
        <v>0.0</v>
      </c>
      <c r="S30" s="42">
        <v>0.0</v>
      </c>
      <c r="T30" s="43">
        <v>4.0</v>
      </c>
      <c r="U30" s="44">
        <v>50.0</v>
      </c>
      <c r="V30" s="45">
        <v>57.0</v>
      </c>
      <c r="W30" s="45">
        <v>0.0</v>
      </c>
      <c r="X30" s="46">
        <v>1.0</v>
      </c>
      <c r="Y30" s="47">
        <v>3.0</v>
      </c>
      <c r="Z30" s="48">
        <v>0.0</v>
      </c>
      <c r="AA30" s="49">
        <v>1.0</v>
      </c>
      <c r="AB30" s="50">
        <v>0.0</v>
      </c>
      <c r="AC30" s="51">
        <v>0.0</v>
      </c>
      <c r="AD30" s="52">
        <v>0.0</v>
      </c>
    </row>
    <row r="31">
      <c r="A31" s="34">
        <v>28.0</v>
      </c>
      <c r="B31" s="35">
        <f t="shared" si="1"/>
        <v>83</v>
      </c>
      <c r="C31" s="36">
        <v>23.0</v>
      </c>
      <c r="D31" s="37">
        <v>106.0</v>
      </c>
      <c r="E31" s="38">
        <v>5.0</v>
      </c>
      <c r="F31" s="39">
        <v>1.0</v>
      </c>
      <c r="G31" s="40">
        <v>0.0</v>
      </c>
      <c r="H31" s="40">
        <v>2.0</v>
      </c>
      <c r="I31" s="40">
        <v>1.0</v>
      </c>
      <c r="J31" s="40">
        <v>1.0</v>
      </c>
      <c r="K31" s="40">
        <v>0.0</v>
      </c>
      <c r="L31" s="40">
        <v>0.0</v>
      </c>
      <c r="M31" s="37">
        <f t="shared" si="2"/>
        <v>106</v>
      </c>
      <c r="N31" s="41">
        <v>35.0</v>
      </c>
      <c r="O31" s="41">
        <v>0.0</v>
      </c>
      <c r="P31" s="41">
        <v>0.0</v>
      </c>
      <c r="Q31" s="41">
        <v>0.0</v>
      </c>
      <c r="R31" s="41">
        <v>0.0</v>
      </c>
      <c r="S31" s="42">
        <v>0.0</v>
      </c>
      <c r="T31" s="43">
        <v>5.0</v>
      </c>
      <c r="U31" s="44">
        <v>44.0</v>
      </c>
      <c r="V31" s="45">
        <v>47.0</v>
      </c>
      <c r="W31" s="45">
        <v>10.0</v>
      </c>
      <c r="X31" s="46">
        <v>6.0</v>
      </c>
      <c r="Y31" s="47">
        <v>9.0</v>
      </c>
      <c r="Z31" s="48">
        <v>1.0</v>
      </c>
      <c r="AA31" s="49">
        <v>3.0</v>
      </c>
      <c r="AB31" s="50">
        <v>1.0</v>
      </c>
      <c r="AC31" s="51">
        <v>0.0</v>
      </c>
      <c r="AD31" s="52">
        <v>0.0</v>
      </c>
    </row>
    <row r="32">
      <c r="A32" s="34">
        <v>29.0</v>
      </c>
      <c r="B32" s="35">
        <f t="shared" si="1"/>
        <v>0</v>
      </c>
      <c r="C32" s="83"/>
      <c r="D32" s="84"/>
      <c r="E32" s="85"/>
      <c r="F32" s="86"/>
      <c r="G32" s="87"/>
      <c r="H32" s="87"/>
      <c r="I32" s="87"/>
      <c r="J32" s="87"/>
      <c r="K32" s="87"/>
      <c r="L32" s="87"/>
      <c r="M32" s="84" t="str">
        <f t="shared" si="2"/>
        <v/>
      </c>
      <c r="N32" s="88"/>
      <c r="O32" s="88"/>
      <c r="P32" s="88"/>
      <c r="Q32" s="88"/>
      <c r="R32" s="88"/>
      <c r="S32" s="88"/>
      <c r="T32" s="89"/>
      <c r="U32" s="90"/>
      <c r="V32" s="91"/>
      <c r="W32" s="91"/>
      <c r="X32" s="92"/>
      <c r="Y32" s="93"/>
      <c r="Z32" s="94"/>
      <c r="AA32" s="95"/>
      <c r="AB32" s="96"/>
      <c r="AC32" s="97"/>
      <c r="AD32" s="98"/>
    </row>
    <row r="33">
      <c r="A33" s="34">
        <v>30.0</v>
      </c>
      <c r="B33" s="35">
        <f t="shared" si="1"/>
        <v>0</v>
      </c>
      <c r="C33" s="83"/>
      <c r="D33" s="84"/>
      <c r="E33" s="85"/>
      <c r="F33" s="86"/>
      <c r="G33" s="87"/>
      <c r="H33" s="87"/>
      <c r="I33" s="87"/>
      <c r="J33" s="87"/>
      <c r="K33" s="87"/>
      <c r="L33" s="87"/>
      <c r="M33" s="84" t="str">
        <f t="shared" si="2"/>
        <v/>
      </c>
      <c r="N33" s="88"/>
      <c r="O33" s="88"/>
      <c r="P33" s="88"/>
      <c r="Q33" s="88"/>
      <c r="R33" s="88"/>
      <c r="S33" s="88"/>
      <c r="T33" s="89"/>
      <c r="U33" s="90"/>
      <c r="V33" s="91"/>
      <c r="W33" s="91"/>
      <c r="X33" s="92"/>
      <c r="Y33" s="93"/>
      <c r="Z33" s="94"/>
      <c r="AA33" s="95"/>
      <c r="AB33" s="96"/>
      <c r="AC33" s="97"/>
      <c r="AD33" s="98"/>
    </row>
    <row r="34">
      <c r="A34" s="34">
        <v>31.0</v>
      </c>
      <c r="B34" s="35">
        <f t="shared" si="1"/>
        <v>0</v>
      </c>
      <c r="C34" s="83"/>
      <c r="D34" s="84"/>
      <c r="E34" s="85"/>
      <c r="F34" s="86"/>
      <c r="G34" s="87"/>
      <c r="H34" s="87"/>
      <c r="I34" s="87"/>
      <c r="J34" s="87"/>
      <c r="K34" s="87"/>
      <c r="L34" s="87"/>
      <c r="M34" s="84" t="str">
        <f t="shared" si="2"/>
        <v/>
      </c>
      <c r="N34" s="88"/>
      <c r="O34" s="88"/>
      <c r="P34" s="88"/>
      <c r="Q34" s="88"/>
      <c r="R34" s="88"/>
      <c r="S34" s="88"/>
      <c r="T34" s="89"/>
      <c r="U34" s="90"/>
      <c r="V34" s="91"/>
      <c r="W34" s="91"/>
      <c r="X34" s="92"/>
      <c r="Y34" s="93"/>
      <c r="Z34" s="94"/>
      <c r="AA34" s="95"/>
      <c r="AB34" s="96"/>
      <c r="AC34" s="97"/>
      <c r="AD34" s="98"/>
    </row>
    <row r="35">
      <c r="A35" s="57" t="s">
        <v>5</v>
      </c>
      <c r="B35" s="58" t="s">
        <v>6</v>
      </c>
      <c r="C35" s="57" t="s">
        <v>7</v>
      </c>
      <c r="D35" s="59" t="s">
        <v>8</v>
      </c>
      <c r="E35" s="60" t="s">
        <v>9</v>
      </c>
      <c r="F35" s="61" t="s">
        <v>10</v>
      </c>
      <c r="G35" s="19" t="s">
        <v>11</v>
      </c>
      <c r="H35" s="19" t="s">
        <v>12</v>
      </c>
      <c r="I35" s="19" t="s">
        <v>13</v>
      </c>
      <c r="J35" s="19" t="s">
        <v>14</v>
      </c>
      <c r="K35" s="19" t="s">
        <v>15</v>
      </c>
      <c r="L35" s="19" t="s">
        <v>16</v>
      </c>
      <c r="M35" s="20" t="s">
        <v>33</v>
      </c>
      <c r="N35" s="62" t="s">
        <v>18</v>
      </c>
      <c r="O35" s="62" t="s">
        <v>19</v>
      </c>
      <c r="P35" s="63" t="s">
        <v>20</v>
      </c>
      <c r="Q35" s="63" t="s">
        <v>21</v>
      </c>
      <c r="R35" s="63" t="s">
        <v>22</v>
      </c>
      <c r="S35" s="63" t="s">
        <v>23</v>
      </c>
      <c r="T35" s="64" t="s">
        <v>24</v>
      </c>
      <c r="U35" s="65" t="s">
        <v>25</v>
      </c>
      <c r="V35" s="57" t="s">
        <v>34</v>
      </c>
      <c r="W35" s="57" t="s">
        <v>35</v>
      </c>
      <c r="X35" s="66" t="s">
        <v>28</v>
      </c>
      <c r="Y35" s="67" t="s">
        <v>29</v>
      </c>
      <c r="Z35" s="68" t="s">
        <v>23</v>
      </c>
      <c r="AA35" s="30" t="s">
        <v>30</v>
      </c>
      <c r="AB35" s="31" t="s">
        <v>31</v>
      </c>
      <c r="AC35" s="32" t="s">
        <v>32</v>
      </c>
      <c r="AD35" s="33" t="s">
        <v>23</v>
      </c>
    </row>
    <row r="36">
      <c r="A36" s="72" t="s">
        <v>8</v>
      </c>
      <c r="B36" s="58">
        <f t="shared" ref="B36:M36" si="3">SUM(B4:B34)</f>
        <v>2098</v>
      </c>
      <c r="C36" s="73">
        <f t="shared" si="3"/>
        <v>674</v>
      </c>
      <c r="D36" s="59">
        <f t="shared" si="3"/>
        <v>2772</v>
      </c>
      <c r="E36" s="60">
        <f t="shared" si="3"/>
        <v>148</v>
      </c>
      <c r="F36" s="74">
        <f t="shared" si="3"/>
        <v>31</v>
      </c>
      <c r="G36" s="72">
        <f t="shared" si="3"/>
        <v>22</v>
      </c>
      <c r="H36" s="72">
        <f t="shared" si="3"/>
        <v>59</v>
      </c>
      <c r="I36" s="72">
        <f t="shared" si="3"/>
        <v>54</v>
      </c>
      <c r="J36" s="72">
        <f t="shared" si="3"/>
        <v>14</v>
      </c>
      <c r="K36" s="72">
        <f t="shared" si="3"/>
        <v>3</v>
      </c>
      <c r="L36" s="72">
        <f t="shared" si="3"/>
        <v>1</v>
      </c>
      <c r="M36" s="59">
        <f t="shared" si="3"/>
        <v>2772</v>
      </c>
      <c r="N36" s="75">
        <f t="shared" ref="N36:O36" si="4">SUM(N4:N35)</f>
        <v>801</v>
      </c>
      <c r="O36" s="75">
        <f t="shared" si="4"/>
        <v>10</v>
      </c>
      <c r="P36" s="76" t="s">
        <v>4</v>
      </c>
      <c r="Q36" s="2"/>
      <c r="R36" s="2"/>
      <c r="S36" s="3"/>
      <c r="T36" s="64">
        <f t="shared" ref="T36:AD36" si="5">SUM(T4:T34)</f>
        <v>155</v>
      </c>
      <c r="U36" s="65">
        <f t="shared" si="5"/>
        <v>1296</v>
      </c>
      <c r="V36" s="57">
        <f t="shared" si="5"/>
        <v>1256</v>
      </c>
      <c r="W36" s="57">
        <f t="shared" si="5"/>
        <v>65</v>
      </c>
      <c r="X36" s="66">
        <f t="shared" si="5"/>
        <v>252</v>
      </c>
      <c r="Y36" s="67">
        <f t="shared" si="5"/>
        <v>132</v>
      </c>
      <c r="Z36" s="68">
        <f t="shared" si="5"/>
        <v>49</v>
      </c>
      <c r="AA36" s="58">
        <f t="shared" si="5"/>
        <v>80</v>
      </c>
      <c r="AB36" s="69">
        <f t="shared" si="5"/>
        <v>10</v>
      </c>
      <c r="AC36" s="70">
        <f t="shared" si="5"/>
        <v>0</v>
      </c>
      <c r="AD36" s="71">
        <f t="shared" si="5"/>
        <v>0</v>
      </c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8"/>
      <c r="O37" s="8"/>
      <c r="P37" s="75">
        <f t="shared" ref="P37:S37" si="6">SUM(P4:P34)</f>
        <v>1</v>
      </c>
      <c r="Q37" s="75">
        <f t="shared" si="6"/>
        <v>0</v>
      </c>
      <c r="R37" s="75">
        <f t="shared" si="6"/>
        <v>0</v>
      </c>
      <c r="S37" s="75">
        <f t="shared" si="6"/>
        <v>0</v>
      </c>
      <c r="T37" s="7"/>
      <c r="U37" s="3"/>
      <c r="V37" s="77">
        <f>SUM(V36,W36)</f>
        <v>1321</v>
      </c>
      <c r="W37" s="78"/>
      <c r="X37" s="7"/>
      <c r="Y37" s="2"/>
      <c r="Z37" s="3"/>
      <c r="AA37" s="7"/>
      <c r="AB37" s="2"/>
      <c r="AC37" s="2"/>
      <c r="AD37" s="3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79"/>
      <c r="O38" s="80"/>
      <c r="P38" s="2"/>
      <c r="Q38" s="2"/>
      <c r="R38" s="2"/>
      <c r="S38" s="3"/>
      <c r="T38" s="81">
        <f>SUM(T36,U36,V37)</f>
        <v>2772</v>
      </c>
      <c r="U38" s="2"/>
      <c r="V38" s="2"/>
      <c r="W38" s="78"/>
      <c r="X38" s="82">
        <f>SUM(X36:Z36)</f>
        <v>433</v>
      </c>
      <c r="Y38" s="2"/>
      <c r="Z38" s="3"/>
      <c r="AA38" s="82">
        <f>SUM(AA36:AD36)</f>
        <v>90</v>
      </c>
      <c r="AB38" s="2"/>
      <c r="AC38" s="2"/>
      <c r="AD38" s="3"/>
    </row>
  </sheetData>
  <mergeCells count="20">
    <mergeCell ref="A1:S1"/>
    <mergeCell ref="T1:W1"/>
    <mergeCell ref="X1:Z1"/>
    <mergeCell ref="AA1:AD1"/>
    <mergeCell ref="G2:L2"/>
    <mergeCell ref="P2:S2"/>
    <mergeCell ref="T2:W2"/>
    <mergeCell ref="A37:M37"/>
    <mergeCell ref="A38:M38"/>
    <mergeCell ref="O38:S38"/>
    <mergeCell ref="T38:W38"/>
    <mergeCell ref="X38:Z38"/>
    <mergeCell ref="AA38:AD38"/>
    <mergeCell ref="X2:Z2"/>
    <mergeCell ref="AA2:AD2"/>
    <mergeCell ref="P36:S36"/>
    <mergeCell ref="T37:U37"/>
    <mergeCell ref="V37:W37"/>
    <mergeCell ref="X37:Z37"/>
    <mergeCell ref="AA37:AD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0"/>
    <col customWidth="1" min="3" max="3" width="6.38"/>
    <col customWidth="1" min="4" max="4" width="8.0"/>
    <col customWidth="1" min="5" max="5" width="6.63"/>
    <col customWidth="1" min="6" max="6" width="8.25"/>
    <col customWidth="1" min="7" max="7" width="6.13"/>
    <col customWidth="1" min="8" max="8" width="6.0"/>
    <col customWidth="1" min="9" max="9" width="5.63"/>
    <col customWidth="1" min="10" max="12" width="6.75"/>
    <col customWidth="1" min="13" max="14" width="8.13"/>
    <col customWidth="1" min="15" max="15" width="7.88"/>
    <col customWidth="1" min="16" max="16" width="7.13"/>
    <col customWidth="1" min="17" max="17" width="6.63"/>
    <col customWidth="1" min="18" max="18" width="8.88"/>
    <col customWidth="1" min="19" max="19" width="8.13"/>
    <col customWidth="1" min="20" max="20" width="7.88"/>
    <col customWidth="1" min="21" max="21" width="8.25"/>
    <col customWidth="1" min="22" max="22" width="7.38"/>
    <col customWidth="1" min="23" max="23" width="7.75"/>
    <col customWidth="1" min="24" max="24" width="7.38"/>
    <col customWidth="1" min="25" max="25" width="6.63"/>
    <col customWidth="1" min="26" max="26" width="5.88"/>
    <col customWidth="1" min="27" max="27" width="7.0"/>
    <col customWidth="1" min="28" max="28" width="6.63"/>
    <col customWidth="1" min="29" max="29" width="7.38"/>
    <col customWidth="1" min="30" max="30" width="5.63"/>
    <col customWidth="1" hidden="1" min="31" max="31" width="0.13"/>
    <col customWidth="1" min="32" max="32" width="6.63"/>
    <col customWidth="1" min="33" max="33" width="9.88"/>
    <col customWidth="1" min="34" max="35" width="8.63"/>
  </cols>
  <sheetData>
    <row r="1" ht="15.75" customHeight="1">
      <c r="A1" s="99"/>
      <c r="B1" s="99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99"/>
    </row>
    <row r="2" ht="24.75" customHeight="1">
      <c r="A2" s="10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101" t="s">
        <v>1</v>
      </c>
      <c r="U2" s="2"/>
      <c r="V2" s="2"/>
      <c r="W2" s="2"/>
      <c r="X2" s="102" t="s">
        <v>2</v>
      </c>
      <c r="Y2" s="2"/>
      <c r="Z2" s="3"/>
      <c r="AA2" s="103" t="s">
        <v>3</v>
      </c>
      <c r="AB2" s="2"/>
      <c r="AC2" s="2"/>
      <c r="AD2" s="3"/>
      <c r="AE2" s="104"/>
      <c r="AF2" s="100"/>
      <c r="AG2" s="99"/>
    </row>
    <row r="3" ht="27.0" customHeight="1">
      <c r="A3" s="105"/>
      <c r="B3" s="105"/>
      <c r="C3" s="105"/>
      <c r="D3" s="105"/>
      <c r="E3" s="105"/>
      <c r="F3" s="105"/>
      <c r="G3" s="101"/>
      <c r="H3" s="2"/>
      <c r="I3" s="2"/>
      <c r="J3" s="2"/>
      <c r="K3" s="2"/>
      <c r="L3" s="2"/>
      <c r="M3" s="105"/>
      <c r="N3" s="106"/>
      <c r="O3" s="106"/>
      <c r="P3" s="107" t="s">
        <v>4</v>
      </c>
      <c r="Q3" s="10"/>
      <c r="R3" s="10"/>
      <c r="S3" s="11"/>
      <c r="T3" s="101"/>
      <c r="U3" s="2"/>
      <c r="V3" s="2"/>
      <c r="W3" s="2"/>
      <c r="X3" s="108"/>
      <c r="Y3" s="2"/>
      <c r="Z3" s="3"/>
      <c r="AA3" s="109"/>
      <c r="AB3" s="2"/>
      <c r="AC3" s="2"/>
      <c r="AD3" s="3"/>
      <c r="AE3" s="110"/>
      <c r="AF3" s="100"/>
      <c r="AG3" s="99"/>
    </row>
    <row r="4" ht="33.75" customHeight="1">
      <c r="A4" s="111" t="s">
        <v>5</v>
      </c>
      <c r="B4" s="112" t="s">
        <v>6</v>
      </c>
      <c r="C4" s="113" t="s">
        <v>7</v>
      </c>
      <c r="D4" s="114" t="s">
        <v>8</v>
      </c>
      <c r="E4" s="115" t="s">
        <v>9</v>
      </c>
      <c r="F4" s="116" t="s">
        <v>10</v>
      </c>
      <c r="G4" s="117" t="s">
        <v>11</v>
      </c>
      <c r="H4" s="117" t="s">
        <v>12</v>
      </c>
      <c r="I4" s="117" t="s">
        <v>13</v>
      </c>
      <c r="J4" s="117" t="s">
        <v>14</v>
      </c>
      <c r="K4" s="117" t="s">
        <v>15</v>
      </c>
      <c r="L4" s="117" t="s">
        <v>16</v>
      </c>
      <c r="M4" s="118" t="s">
        <v>17</v>
      </c>
      <c r="N4" s="119" t="s">
        <v>18</v>
      </c>
      <c r="O4" s="119" t="s">
        <v>19</v>
      </c>
      <c r="P4" s="120" t="s">
        <v>20</v>
      </c>
      <c r="Q4" s="120" t="s">
        <v>21</v>
      </c>
      <c r="R4" s="120" t="s">
        <v>22</v>
      </c>
      <c r="S4" s="121" t="s">
        <v>23</v>
      </c>
      <c r="T4" s="122" t="s">
        <v>24</v>
      </c>
      <c r="U4" s="123" t="s">
        <v>25</v>
      </c>
      <c r="V4" s="124" t="s">
        <v>26</v>
      </c>
      <c r="W4" s="125" t="s">
        <v>27</v>
      </c>
      <c r="X4" s="126" t="s">
        <v>28</v>
      </c>
      <c r="Y4" s="127" t="s">
        <v>29</v>
      </c>
      <c r="Z4" s="128" t="s">
        <v>23</v>
      </c>
      <c r="AA4" s="129" t="s">
        <v>30</v>
      </c>
      <c r="AB4" s="130" t="s">
        <v>31</v>
      </c>
      <c r="AC4" s="131" t="s">
        <v>32</v>
      </c>
      <c r="AD4" s="132" t="s">
        <v>23</v>
      </c>
      <c r="AE4" s="133"/>
      <c r="AF4" s="134"/>
      <c r="AG4" s="135" t="s">
        <v>38</v>
      </c>
      <c r="AH4" s="136" t="s">
        <v>39</v>
      </c>
      <c r="AI4" s="134"/>
    </row>
    <row r="5" ht="15.75" customHeight="1">
      <c r="A5" s="137">
        <v>1.0</v>
      </c>
      <c r="B5" s="138">
        <f t="shared" ref="B5:B35" si="1">D5-C5</f>
        <v>50</v>
      </c>
      <c r="C5" s="139">
        <v>19.0</v>
      </c>
      <c r="D5" s="140">
        <v>69.0</v>
      </c>
      <c r="E5" s="141">
        <v>3.0</v>
      </c>
      <c r="F5" s="142">
        <v>1.0</v>
      </c>
      <c r="G5" s="143">
        <v>2.0</v>
      </c>
      <c r="H5" s="143">
        <v>5.0</v>
      </c>
      <c r="I5" s="143">
        <v>1.0</v>
      </c>
      <c r="J5" s="143">
        <v>0.0</v>
      </c>
      <c r="K5" s="143">
        <v>0.0</v>
      </c>
      <c r="L5" s="143">
        <v>0.0</v>
      </c>
      <c r="M5" s="140">
        <f t="shared" ref="M5:M22" si="2">D5</f>
        <v>69</v>
      </c>
      <c r="N5" s="144">
        <v>18.0</v>
      </c>
      <c r="O5" s="144">
        <v>1.0</v>
      </c>
      <c r="P5" s="144">
        <v>0.0</v>
      </c>
      <c r="Q5" s="144">
        <v>0.0</v>
      </c>
      <c r="R5" s="144">
        <v>0.0</v>
      </c>
      <c r="S5" s="145">
        <v>1.0</v>
      </c>
      <c r="T5" s="146">
        <v>2.0</v>
      </c>
      <c r="U5" s="147">
        <v>39.0</v>
      </c>
      <c r="V5" s="148">
        <v>28.0</v>
      </c>
      <c r="W5" s="148">
        <v>0.0</v>
      </c>
      <c r="X5" s="149">
        <v>7.0</v>
      </c>
      <c r="Y5" s="150">
        <v>5.0</v>
      </c>
      <c r="Z5" s="151">
        <v>2.0</v>
      </c>
      <c r="AA5" s="152">
        <v>1.0</v>
      </c>
      <c r="AB5" s="153">
        <v>0.0</v>
      </c>
      <c r="AC5" s="154">
        <v>0.0</v>
      </c>
      <c r="AD5" s="155">
        <v>0.0</v>
      </c>
      <c r="AE5" s="100"/>
      <c r="AF5" s="156"/>
      <c r="AG5" s="157">
        <f t="shared" ref="AG5:AG35" si="3">V5+W5</f>
        <v>28</v>
      </c>
      <c r="AH5" s="158">
        <f t="shared" ref="AH5:AH35" si="4">W5+V5+U5+T5</f>
        <v>69</v>
      </c>
    </row>
    <row r="6" ht="15.75" customHeight="1">
      <c r="A6" s="137">
        <v>2.0</v>
      </c>
      <c r="B6" s="138">
        <f t="shared" si="1"/>
        <v>42</v>
      </c>
      <c r="C6" s="139">
        <v>24.0</v>
      </c>
      <c r="D6" s="140">
        <v>66.0</v>
      </c>
      <c r="E6" s="141">
        <v>7.0</v>
      </c>
      <c r="F6" s="142"/>
      <c r="G6" s="143">
        <v>0.0</v>
      </c>
      <c r="H6" s="143">
        <v>3.0</v>
      </c>
      <c r="I6" s="143">
        <v>1.0</v>
      </c>
      <c r="J6" s="143">
        <v>1.0</v>
      </c>
      <c r="K6" s="143">
        <v>0.0</v>
      </c>
      <c r="L6" s="143">
        <v>0.0</v>
      </c>
      <c r="M6" s="140">
        <f t="shared" si="2"/>
        <v>66</v>
      </c>
      <c r="N6" s="144">
        <v>13.0</v>
      </c>
      <c r="O6" s="144">
        <v>2.0</v>
      </c>
      <c r="P6" s="144">
        <v>0.0</v>
      </c>
      <c r="Q6" s="144">
        <v>0.0</v>
      </c>
      <c r="R6" s="144">
        <v>0.0</v>
      </c>
      <c r="S6" s="145">
        <v>0.0</v>
      </c>
      <c r="T6" s="146">
        <v>4.0</v>
      </c>
      <c r="U6" s="147">
        <v>35.0</v>
      </c>
      <c r="V6" s="148">
        <v>27.0</v>
      </c>
      <c r="W6" s="148">
        <v>0.0</v>
      </c>
      <c r="X6" s="149">
        <v>12.0</v>
      </c>
      <c r="Y6" s="150">
        <v>3.0</v>
      </c>
      <c r="Z6" s="151">
        <v>0.0</v>
      </c>
      <c r="AA6" s="152">
        <v>1.0</v>
      </c>
      <c r="AB6" s="153">
        <v>0.0</v>
      </c>
      <c r="AC6" s="154">
        <v>0.0</v>
      </c>
      <c r="AD6" s="155">
        <v>0.0</v>
      </c>
      <c r="AE6" s="100"/>
      <c r="AG6" s="157">
        <f t="shared" si="3"/>
        <v>27</v>
      </c>
      <c r="AH6" s="158">
        <f t="shared" si="4"/>
        <v>66</v>
      </c>
    </row>
    <row r="7" ht="15.75" customHeight="1">
      <c r="A7" s="137">
        <v>3.0</v>
      </c>
      <c r="B7" s="138">
        <f t="shared" si="1"/>
        <v>52</v>
      </c>
      <c r="C7" s="139">
        <v>20.0</v>
      </c>
      <c r="D7" s="140">
        <v>72.0</v>
      </c>
      <c r="E7" s="141">
        <v>4.0</v>
      </c>
      <c r="F7" s="142">
        <v>1.0</v>
      </c>
      <c r="G7" s="143">
        <v>0.0</v>
      </c>
      <c r="H7" s="143">
        <v>1.0</v>
      </c>
      <c r="I7" s="143">
        <v>1.0</v>
      </c>
      <c r="J7" s="143">
        <v>0.0</v>
      </c>
      <c r="K7" s="143">
        <v>0.0</v>
      </c>
      <c r="L7" s="143">
        <v>0.0</v>
      </c>
      <c r="M7" s="140">
        <f t="shared" si="2"/>
        <v>72</v>
      </c>
      <c r="N7" s="144">
        <v>10.0</v>
      </c>
      <c r="O7" s="144">
        <v>0.0</v>
      </c>
      <c r="P7" s="144">
        <v>0.0</v>
      </c>
      <c r="Q7" s="144">
        <v>0.0</v>
      </c>
      <c r="R7" s="144">
        <v>0.0</v>
      </c>
      <c r="S7" s="145">
        <v>0.0</v>
      </c>
      <c r="T7" s="146">
        <v>7.0</v>
      </c>
      <c r="U7" s="147">
        <v>39.0</v>
      </c>
      <c r="V7" s="148">
        <v>22.0</v>
      </c>
      <c r="W7" s="148">
        <v>4.0</v>
      </c>
      <c r="X7" s="149">
        <v>3.0</v>
      </c>
      <c r="Y7" s="150">
        <v>3.0</v>
      </c>
      <c r="Z7" s="151">
        <v>0.0</v>
      </c>
      <c r="AA7" s="152">
        <v>4.0</v>
      </c>
      <c r="AB7" s="153">
        <v>0.0</v>
      </c>
      <c r="AC7" s="154">
        <v>0.0</v>
      </c>
      <c r="AD7" s="155">
        <v>0.0</v>
      </c>
      <c r="AE7" s="100"/>
      <c r="AG7" s="157">
        <f t="shared" si="3"/>
        <v>26</v>
      </c>
      <c r="AH7" s="158">
        <f t="shared" si="4"/>
        <v>72</v>
      </c>
    </row>
    <row r="8" ht="15.75" customHeight="1">
      <c r="A8" s="137">
        <v>4.0</v>
      </c>
      <c r="B8" s="138">
        <f t="shared" si="1"/>
        <v>68</v>
      </c>
      <c r="C8" s="139">
        <v>18.0</v>
      </c>
      <c r="D8" s="140">
        <v>86.0</v>
      </c>
      <c r="E8" s="141">
        <v>3.0</v>
      </c>
      <c r="F8" s="142">
        <v>0.0</v>
      </c>
      <c r="G8" s="143">
        <v>0.0</v>
      </c>
      <c r="H8" s="143">
        <v>1.0</v>
      </c>
      <c r="I8" s="143">
        <v>0.0</v>
      </c>
      <c r="J8" s="143">
        <v>0.0</v>
      </c>
      <c r="K8" s="143">
        <v>0.0</v>
      </c>
      <c r="L8" s="143">
        <v>0.0</v>
      </c>
      <c r="M8" s="140">
        <f t="shared" si="2"/>
        <v>86</v>
      </c>
      <c r="N8" s="144">
        <v>23.0</v>
      </c>
      <c r="O8" s="144">
        <v>0.0</v>
      </c>
      <c r="P8" s="144">
        <v>0.0</v>
      </c>
      <c r="Q8" s="144">
        <v>0.0</v>
      </c>
      <c r="R8" s="144">
        <v>0.0</v>
      </c>
      <c r="S8" s="145">
        <v>0.0</v>
      </c>
      <c r="T8" s="146">
        <v>6.0</v>
      </c>
      <c r="U8" s="147">
        <v>38.0</v>
      </c>
      <c r="V8" s="148">
        <v>42.0</v>
      </c>
      <c r="W8" s="148">
        <v>0.0</v>
      </c>
      <c r="X8" s="149">
        <v>1.0</v>
      </c>
      <c r="Y8" s="150">
        <v>3.0</v>
      </c>
      <c r="Z8" s="151">
        <v>0.0</v>
      </c>
      <c r="AA8" s="152">
        <v>2.0</v>
      </c>
      <c r="AB8" s="153">
        <v>0.0</v>
      </c>
      <c r="AC8" s="154">
        <v>0.0</v>
      </c>
      <c r="AD8" s="155">
        <v>0.0</v>
      </c>
      <c r="AE8" s="100"/>
      <c r="AG8" s="157">
        <f t="shared" si="3"/>
        <v>42</v>
      </c>
      <c r="AH8" s="158">
        <f t="shared" si="4"/>
        <v>86</v>
      </c>
    </row>
    <row r="9" ht="15.75" customHeight="1">
      <c r="A9" s="137">
        <v>5.0</v>
      </c>
      <c r="B9" s="138">
        <f t="shared" si="1"/>
        <v>62</v>
      </c>
      <c r="C9" s="139">
        <v>25.0</v>
      </c>
      <c r="D9" s="140">
        <v>87.0</v>
      </c>
      <c r="E9" s="141">
        <v>12.0</v>
      </c>
      <c r="F9" s="142">
        <v>0.0</v>
      </c>
      <c r="G9" s="143">
        <v>0.0</v>
      </c>
      <c r="H9" s="143">
        <v>4.0</v>
      </c>
      <c r="I9" s="143">
        <v>2.0</v>
      </c>
      <c r="J9" s="143">
        <v>0.0</v>
      </c>
      <c r="K9" s="143">
        <v>0.0</v>
      </c>
      <c r="L9" s="143">
        <v>0.0</v>
      </c>
      <c r="M9" s="140">
        <f t="shared" si="2"/>
        <v>87</v>
      </c>
      <c r="N9" s="144">
        <v>17.0</v>
      </c>
      <c r="O9" s="144">
        <v>1.0</v>
      </c>
      <c r="P9" s="144">
        <v>0.0</v>
      </c>
      <c r="Q9" s="144">
        <v>0.0</v>
      </c>
      <c r="R9" s="144">
        <v>0.0</v>
      </c>
      <c r="S9" s="145">
        <v>0.0</v>
      </c>
      <c r="T9" s="146">
        <v>6.0</v>
      </c>
      <c r="U9" s="147">
        <v>48.0</v>
      </c>
      <c r="V9" s="148">
        <v>33.0</v>
      </c>
      <c r="W9" s="148">
        <v>0.0</v>
      </c>
      <c r="X9" s="149">
        <v>12.0</v>
      </c>
      <c r="Y9" s="150">
        <v>6.0</v>
      </c>
      <c r="Z9" s="151">
        <v>2.0</v>
      </c>
      <c r="AA9" s="152">
        <v>3.0</v>
      </c>
      <c r="AB9" s="153">
        <v>1.0</v>
      </c>
      <c r="AC9" s="154">
        <v>0.0</v>
      </c>
      <c r="AD9" s="155">
        <v>0.0</v>
      </c>
      <c r="AE9" s="100"/>
      <c r="AG9" s="157">
        <f t="shared" si="3"/>
        <v>33</v>
      </c>
      <c r="AH9" s="158">
        <f t="shared" si="4"/>
        <v>87</v>
      </c>
    </row>
    <row r="10" ht="15.75" customHeight="1">
      <c r="A10" s="137">
        <v>6.0</v>
      </c>
      <c r="B10" s="138">
        <f t="shared" si="1"/>
        <v>74</v>
      </c>
      <c r="C10" s="139">
        <v>19.0</v>
      </c>
      <c r="D10" s="140">
        <v>93.0</v>
      </c>
      <c r="E10" s="141">
        <v>6.0</v>
      </c>
      <c r="F10" s="142">
        <v>4.0</v>
      </c>
      <c r="G10" s="143">
        <v>0.0</v>
      </c>
      <c r="H10" s="143">
        <v>2.0</v>
      </c>
      <c r="I10" s="143">
        <v>1.0</v>
      </c>
      <c r="J10" s="143">
        <v>0.0</v>
      </c>
      <c r="K10" s="143">
        <v>0.0</v>
      </c>
      <c r="L10" s="143">
        <v>0.0</v>
      </c>
      <c r="M10" s="140">
        <f t="shared" si="2"/>
        <v>93</v>
      </c>
      <c r="N10" s="144">
        <v>39.0</v>
      </c>
      <c r="O10" s="144">
        <v>0.0</v>
      </c>
      <c r="P10" s="144">
        <v>0.0</v>
      </c>
      <c r="Q10" s="144">
        <v>0.0</v>
      </c>
      <c r="R10" s="144">
        <v>0.0</v>
      </c>
      <c r="S10" s="145">
        <v>0.0</v>
      </c>
      <c r="T10" s="146">
        <v>4.0</v>
      </c>
      <c r="U10" s="147">
        <v>31.0</v>
      </c>
      <c r="V10" s="148">
        <v>51.0</v>
      </c>
      <c r="W10" s="148">
        <v>7.0</v>
      </c>
      <c r="X10" s="149">
        <v>4.0</v>
      </c>
      <c r="Y10" s="150">
        <v>4.0</v>
      </c>
      <c r="Z10" s="151">
        <v>0.0</v>
      </c>
      <c r="AA10" s="152">
        <v>3.0</v>
      </c>
      <c r="AB10" s="153">
        <v>0.0</v>
      </c>
      <c r="AC10" s="154">
        <v>0.0</v>
      </c>
      <c r="AD10" s="155">
        <v>0.0</v>
      </c>
      <c r="AE10" s="100"/>
      <c r="AG10" s="157">
        <f t="shared" si="3"/>
        <v>58</v>
      </c>
      <c r="AH10" s="158">
        <f t="shared" si="4"/>
        <v>93</v>
      </c>
    </row>
    <row r="11" ht="15.75" customHeight="1">
      <c r="A11" s="137">
        <v>7.0</v>
      </c>
      <c r="B11" s="138">
        <f t="shared" si="1"/>
        <v>85</v>
      </c>
      <c r="C11" s="139">
        <v>18.0</v>
      </c>
      <c r="D11" s="140">
        <v>103.0</v>
      </c>
      <c r="E11" s="141">
        <v>6.0</v>
      </c>
      <c r="F11" s="142">
        <v>1.0</v>
      </c>
      <c r="G11" s="143">
        <v>1.0</v>
      </c>
      <c r="H11" s="143">
        <v>3.0</v>
      </c>
      <c r="I11" s="143">
        <v>5.0</v>
      </c>
      <c r="J11" s="143">
        <v>1.0</v>
      </c>
      <c r="K11" s="143">
        <v>0.0</v>
      </c>
      <c r="L11" s="143">
        <v>1.0</v>
      </c>
      <c r="M11" s="140">
        <f t="shared" si="2"/>
        <v>103</v>
      </c>
      <c r="N11" s="144">
        <v>21.0</v>
      </c>
      <c r="O11" s="144">
        <v>2.0</v>
      </c>
      <c r="P11" s="144">
        <v>1.0</v>
      </c>
      <c r="Q11" s="144">
        <v>0.0</v>
      </c>
      <c r="R11" s="144">
        <v>0.0</v>
      </c>
      <c r="S11" s="145">
        <v>0.0</v>
      </c>
      <c r="T11" s="146">
        <v>7.0</v>
      </c>
      <c r="U11" s="147">
        <v>43.0</v>
      </c>
      <c r="V11" s="148">
        <v>51.0</v>
      </c>
      <c r="W11" s="148">
        <v>2.0</v>
      </c>
      <c r="X11" s="149">
        <v>7.0</v>
      </c>
      <c r="Y11" s="150">
        <v>5.0</v>
      </c>
      <c r="Z11" s="151">
        <v>2.0</v>
      </c>
      <c r="AA11" s="152">
        <v>5.0</v>
      </c>
      <c r="AB11" s="153">
        <v>0.0</v>
      </c>
      <c r="AC11" s="154">
        <v>0.0</v>
      </c>
      <c r="AD11" s="155">
        <v>0.0</v>
      </c>
      <c r="AE11" s="100"/>
      <c r="AG11" s="157">
        <f t="shared" si="3"/>
        <v>53</v>
      </c>
      <c r="AH11" s="158">
        <f t="shared" si="4"/>
        <v>103</v>
      </c>
    </row>
    <row r="12" ht="15.75" customHeight="1">
      <c r="A12" s="137">
        <v>8.0</v>
      </c>
      <c r="B12" s="138">
        <f t="shared" si="1"/>
        <v>66</v>
      </c>
      <c r="C12" s="139">
        <v>24.0</v>
      </c>
      <c r="D12" s="140">
        <v>90.0</v>
      </c>
      <c r="E12" s="141">
        <v>1.0</v>
      </c>
      <c r="F12" s="142">
        <v>1.0</v>
      </c>
      <c r="G12" s="143">
        <v>0.0</v>
      </c>
      <c r="H12" s="143">
        <v>0.0</v>
      </c>
      <c r="I12" s="143">
        <v>1.0</v>
      </c>
      <c r="J12" s="143">
        <v>0.0</v>
      </c>
      <c r="K12" s="143">
        <v>0.0</v>
      </c>
      <c r="L12" s="143">
        <v>0.0</v>
      </c>
      <c r="M12" s="140">
        <f t="shared" si="2"/>
        <v>90</v>
      </c>
      <c r="N12" s="144">
        <v>28.0</v>
      </c>
      <c r="O12" s="144">
        <v>1.0</v>
      </c>
      <c r="P12" s="144">
        <v>0.0</v>
      </c>
      <c r="Q12" s="144">
        <v>0.0</v>
      </c>
      <c r="R12" s="144">
        <v>0.0</v>
      </c>
      <c r="S12" s="145">
        <v>0.0</v>
      </c>
      <c r="T12" s="146">
        <v>4.0</v>
      </c>
      <c r="U12" s="147">
        <v>44.0</v>
      </c>
      <c r="V12" s="148">
        <v>42.0</v>
      </c>
      <c r="W12" s="148">
        <v>0.0</v>
      </c>
      <c r="X12" s="149">
        <v>4.0</v>
      </c>
      <c r="Y12" s="150">
        <v>2.0</v>
      </c>
      <c r="Z12" s="151">
        <v>2.0</v>
      </c>
      <c r="AA12" s="152">
        <v>4.0</v>
      </c>
      <c r="AB12" s="153">
        <v>1.0</v>
      </c>
      <c r="AC12" s="154">
        <v>0.0</v>
      </c>
      <c r="AD12" s="155">
        <v>0.0</v>
      </c>
      <c r="AE12" s="100"/>
      <c r="AG12" s="157">
        <f t="shared" si="3"/>
        <v>42</v>
      </c>
      <c r="AH12" s="158">
        <f t="shared" si="4"/>
        <v>90</v>
      </c>
    </row>
    <row r="13" ht="15.75" customHeight="1">
      <c r="A13" s="137">
        <v>9.0</v>
      </c>
      <c r="B13" s="138">
        <f t="shared" si="1"/>
        <v>67</v>
      </c>
      <c r="C13" s="139">
        <v>17.0</v>
      </c>
      <c r="D13" s="140">
        <v>84.0</v>
      </c>
      <c r="E13" s="141">
        <v>3.0</v>
      </c>
      <c r="F13" s="142">
        <v>1.0</v>
      </c>
      <c r="G13" s="143">
        <v>1.0</v>
      </c>
      <c r="H13" s="143">
        <v>1.0</v>
      </c>
      <c r="I13" s="143">
        <v>4.0</v>
      </c>
      <c r="J13" s="143">
        <v>0.0</v>
      </c>
      <c r="K13" s="143">
        <v>0.0</v>
      </c>
      <c r="L13" s="143">
        <v>0.0</v>
      </c>
      <c r="M13" s="140">
        <f t="shared" si="2"/>
        <v>84</v>
      </c>
      <c r="N13" s="144">
        <v>26.0</v>
      </c>
      <c r="O13" s="144">
        <v>0.0</v>
      </c>
      <c r="P13" s="144">
        <v>0.0</v>
      </c>
      <c r="Q13" s="144">
        <v>0.0</v>
      </c>
      <c r="R13" s="144">
        <v>0.0</v>
      </c>
      <c r="S13" s="145">
        <v>0.0</v>
      </c>
      <c r="T13" s="146">
        <v>2.0</v>
      </c>
      <c r="U13" s="147">
        <v>36.0</v>
      </c>
      <c r="V13" s="148">
        <v>46.0</v>
      </c>
      <c r="W13" s="148">
        <v>0.0</v>
      </c>
      <c r="X13" s="149">
        <v>5.0</v>
      </c>
      <c r="Y13" s="150">
        <v>2.0</v>
      </c>
      <c r="Z13" s="151">
        <v>1.0</v>
      </c>
      <c r="AA13" s="152">
        <v>2.0</v>
      </c>
      <c r="AB13" s="153">
        <v>0.0</v>
      </c>
      <c r="AC13" s="154">
        <v>0.0</v>
      </c>
      <c r="AD13" s="155">
        <v>0.0</v>
      </c>
      <c r="AE13" s="100"/>
      <c r="AG13" s="157">
        <f t="shared" si="3"/>
        <v>46</v>
      </c>
      <c r="AH13" s="158">
        <f t="shared" si="4"/>
        <v>84</v>
      </c>
    </row>
    <row r="14" ht="15.75" customHeight="1">
      <c r="A14" s="137">
        <v>10.0</v>
      </c>
      <c r="B14" s="138">
        <f t="shared" si="1"/>
        <v>66</v>
      </c>
      <c r="C14" s="139">
        <v>22.0</v>
      </c>
      <c r="D14" s="140">
        <v>88.0</v>
      </c>
      <c r="E14" s="141">
        <v>5.0</v>
      </c>
      <c r="F14" s="142">
        <v>1.0</v>
      </c>
      <c r="G14" s="143">
        <v>2.0</v>
      </c>
      <c r="H14" s="143">
        <v>2.0</v>
      </c>
      <c r="I14" s="143">
        <v>1.0</v>
      </c>
      <c r="J14" s="143">
        <v>0.0</v>
      </c>
      <c r="K14" s="143">
        <v>0.0</v>
      </c>
      <c r="L14" s="143">
        <v>0.0</v>
      </c>
      <c r="M14" s="140">
        <f t="shared" si="2"/>
        <v>88</v>
      </c>
      <c r="N14" s="144">
        <v>17.0</v>
      </c>
      <c r="O14" s="144">
        <v>0.0</v>
      </c>
      <c r="P14" s="144">
        <v>0.0</v>
      </c>
      <c r="Q14" s="144">
        <v>0.0</v>
      </c>
      <c r="R14" s="144">
        <v>0.0</v>
      </c>
      <c r="S14" s="145">
        <v>0.0</v>
      </c>
      <c r="T14" s="146">
        <v>5.0</v>
      </c>
      <c r="U14" s="147">
        <v>48.0</v>
      </c>
      <c r="V14" s="148">
        <v>35.0</v>
      </c>
      <c r="W14" s="148">
        <v>0.0</v>
      </c>
      <c r="X14" s="149">
        <v>13.0</v>
      </c>
      <c r="Y14" s="150">
        <v>9.0</v>
      </c>
      <c r="Z14" s="151">
        <v>3.0</v>
      </c>
      <c r="AA14" s="152">
        <v>4.0</v>
      </c>
      <c r="AB14" s="153">
        <v>0.0</v>
      </c>
      <c r="AC14" s="154">
        <v>0.0</v>
      </c>
      <c r="AD14" s="155">
        <v>0.0</v>
      </c>
      <c r="AE14" s="100"/>
      <c r="AG14" s="157">
        <f t="shared" si="3"/>
        <v>35</v>
      </c>
      <c r="AH14" s="158">
        <f t="shared" si="4"/>
        <v>88</v>
      </c>
    </row>
    <row r="15" ht="15.75" customHeight="1">
      <c r="A15" s="137">
        <v>11.0</v>
      </c>
      <c r="B15" s="138">
        <f t="shared" si="1"/>
        <v>43</v>
      </c>
      <c r="C15" s="139">
        <v>17.0</v>
      </c>
      <c r="D15" s="140">
        <v>60.0</v>
      </c>
      <c r="E15" s="141">
        <v>2.0</v>
      </c>
      <c r="F15" s="142">
        <v>0.0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0">
        <f t="shared" si="2"/>
        <v>60</v>
      </c>
      <c r="N15" s="144">
        <v>15.0</v>
      </c>
      <c r="O15" s="144">
        <v>1.0</v>
      </c>
      <c r="P15" s="144">
        <v>0.0</v>
      </c>
      <c r="Q15" s="144">
        <v>0.0</v>
      </c>
      <c r="R15" s="144">
        <v>0.0</v>
      </c>
      <c r="S15" s="145">
        <v>0.0</v>
      </c>
      <c r="T15" s="146">
        <v>3.0</v>
      </c>
      <c r="U15" s="147">
        <v>34.0</v>
      </c>
      <c r="V15" s="148">
        <v>20.0</v>
      </c>
      <c r="W15" s="159">
        <v>3.0</v>
      </c>
      <c r="X15" s="149">
        <v>13.0</v>
      </c>
      <c r="Y15" s="150">
        <v>2.0</v>
      </c>
      <c r="Z15" s="151">
        <v>0.0</v>
      </c>
      <c r="AA15" s="152">
        <v>2.0</v>
      </c>
      <c r="AB15" s="153">
        <v>0.0</v>
      </c>
      <c r="AC15" s="154">
        <v>0.0</v>
      </c>
      <c r="AD15" s="155">
        <v>0.0</v>
      </c>
      <c r="AE15" s="100"/>
      <c r="AG15" s="157">
        <f t="shared" si="3"/>
        <v>23</v>
      </c>
      <c r="AH15" s="158">
        <f t="shared" si="4"/>
        <v>60</v>
      </c>
    </row>
    <row r="16" ht="17.25" customHeight="1">
      <c r="A16" s="137">
        <v>12.0</v>
      </c>
      <c r="B16" s="138">
        <f t="shared" si="1"/>
        <v>60</v>
      </c>
      <c r="C16" s="139">
        <v>17.0</v>
      </c>
      <c r="D16" s="140">
        <v>77.0</v>
      </c>
      <c r="E16" s="141">
        <v>5.0</v>
      </c>
      <c r="F16" s="142">
        <v>2.0</v>
      </c>
      <c r="G16" s="143">
        <v>1.0</v>
      </c>
      <c r="H16" s="143">
        <v>1.0</v>
      </c>
      <c r="I16" s="143">
        <v>1.0</v>
      </c>
      <c r="J16" s="143">
        <v>0.0</v>
      </c>
      <c r="K16" s="143">
        <v>0.0</v>
      </c>
      <c r="L16" s="143">
        <v>0.0</v>
      </c>
      <c r="M16" s="140">
        <f t="shared" si="2"/>
        <v>77</v>
      </c>
      <c r="N16" s="144">
        <v>18.0</v>
      </c>
      <c r="O16" s="144">
        <v>0.0</v>
      </c>
      <c r="P16" s="160">
        <v>0.0</v>
      </c>
      <c r="Q16" s="160">
        <v>0.0</v>
      </c>
      <c r="R16" s="160">
        <v>0.0</v>
      </c>
      <c r="S16" s="145">
        <v>0.0</v>
      </c>
      <c r="T16" s="146">
        <v>3.0</v>
      </c>
      <c r="U16" s="147">
        <v>37.0</v>
      </c>
      <c r="V16" s="148">
        <v>37.0</v>
      </c>
      <c r="W16" s="161">
        <v>0.0</v>
      </c>
      <c r="X16" s="149">
        <v>7.0</v>
      </c>
      <c r="Y16" s="150">
        <v>9.0</v>
      </c>
      <c r="Z16" s="151">
        <v>1.0</v>
      </c>
      <c r="AA16" s="152">
        <v>4.0</v>
      </c>
      <c r="AB16" s="153">
        <v>0.0</v>
      </c>
      <c r="AC16" s="154">
        <v>0.0</v>
      </c>
      <c r="AD16" s="155">
        <v>0.0</v>
      </c>
      <c r="AE16" s="100"/>
      <c r="AG16" s="157">
        <f t="shared" si="3"/>
        <v>37</v>
      </c>
      <c r="AH16" s="158">
        <f t="shared" si="4"/>
        <v>77</v>
      </c>
    </row>
    <row r="17" ht="15.75" customHeight="1">
      <c r="A17" s="137">
        <v>13.0</v>
      </c>
      <c r="B17" s="138">
        <f t="shared" si="1"/>
        <v>60</v>
      </c>
      <c r="C17" s="139">
        <v>16.0</v>
      </c>
      <c r="D17" s="140">
        <v>76.0</v>
      </c>
      <c r="E17" s="141">
        <v>4.0</v>
      </c>
      <c r="F17" s="142">
        <v>1.0</v>
      </c>
      <c r="G17" s="143">
        <v>0.0</v>
      </c>
      <c r="H17" s="143">
        <v>0.0</v>
      </c>
      <c r="I17" s="143">
        <v>1.0</v>
      </c>
      <c r="J17" s="143">
        <v>1.0</v>
      </c>
      <c r="K17" s="143">
        <v>0.0</v>
      </c>
      <c r="L17" s="143">
        <v>0.0</v>
      </c>
      <c r="M17" s="140">
        <f t="shared" si="2"/>
        <v>76</v>
      </c>
      <c r="N17" s="144">
        <v>23.0</v>
      </c>
      <c r="O17" s="144">
        <v>0.0</v>
      </c>
      <c r="P17" s="160">
        <v>0.0</v>
      </c>
      <c r="Q17" s="160">
        <v>0.0</v>
      </c>
      <c r="R17" s="160">
        <v>0.0</v>
      </c>
      <c r="S17" s="145">
        <v>0.0</v>
      </c>
      <c r="T17" s="146">
        <v>2.0</v>
      </c>
      <c r="U17" s="147">
        <v>31.0</v>
      </c>
      <c r="V17" s="148">
        <v>43.0</v>
      </c>
      <c r="W17" s="161">
        <v>0.0</v>
      </c>
      <c r="X17" s="149">
        <v>1.0</v>
      </c>
      <c r="Y17" s="150">
        <v>2.0</v>
      </c>
      <c r="Z17" s="151">
        <v>0.0</v>
      </c>
      <c r="AA17" s="152">
        <v>0.0</v>
      </c>
      <c r="AB17" s="153">
        <v>0.0</v>
      </c>
      <c r="AC17" s="154">
        <v>0.0</v>
      </c>
      <c r="AD17" s="155">
        <v>0.0</v>
      </c>
      <c r="AE17" s="100"/>
      <c r="AG17" s="157">
        <f t="shared" si="3"/>
        <v>43</v>
      </c>
      <c r="AH17" s="158">
        <f t="shared" si="4"/>
        <v>76</v>
      </c>
    </row>
    <row r="18" ht="15.75" customHeight="1">
      <c r="A18" s="137">
        <v>14.0</v>
      </c>
      <c r="B18" s="138">
        <f t="shared" si="1"/>
        <v>75</v>
      </c>
      <c r="C18" s="139">
        <v>18.0</v>
      </c>
      <c r="D18" s="140">
        <v>93.0</v>
      </c>
      <c r="E18" s="141">
        <v>5.0</v>
      </c>
      <c r="F18" s="142">
        <v>1.0</v>
      </c>
      <c r="G18" s="143">
        <v>0.0</v>
      </c>
      <c r="H18" s="143">
        <v>2.0</v>
      </c>
      <c r="I18" s="143">
        <v>2.0</v>
      </c>
      <c r="J18" s="143">
        <v>0.0</v>
      </c>
      <c r="K18" s="143">
        <v>0.0</v>
      </c>
      <c r="L18" s="143">
        <v>0.0</v>
      </c>
      <c r="M18" s="140">
        <f t="shared" si="2"/>
        <v>93</v>
      </c>
      <c r="N18" s="144">
        <v>20.0</v>
      </c>
      <c r="O18" s="144">
        <v>0.0</v>
      </c>
      <c r="P18" s="160">
        <v>0.0</v>
      </c>
      <c r="Q18" s="160">
        <v>0.0</v>
      </c>
      <c r="R18" s="160">
        <v>0.0</v>
      </c>
      <c r="S18" s="145">
        <v>1.0</v>
      </c>
      <c r="T18" s="146">
        <v>4.0</v>
      </c>
      <c r="U18" s="147">
        <v>46.0</v>
      </c>
      <c r="V18" s="148">
        <v>43.0</v>
      </c>
      <c r="W18" s="161">
        <v>0.0</v>
      </c>
      <c r="X18" s="149">
        <v>7.0</v>
      </c>
      <c r="Y18" s="150">
        <v>9.0</v>
      </c>
      <c r="Z18" s="151">
        <v>0.0</v>
      </c>
      <c r="AA18" s="152">
        <v>2.0</v>
      </c>
      <c r="AB18" s="153">
        <v>0.0</v>
      </c>
      <c r="AC18" s="154">
        <v>0.0</v>
      </c>
      <c r="AD18" s="155">
        <v>0.0</v>
      </c>
      <c r="AE18" s="100"/>
      <c r="AG18" s="157">
        <f t="shared" si="3"/>
        <v>43</v>
      </c>
      <c r="AH18" s="158">
        <f t="shared" si="4"/>
        <v>93</v>
      </c>
    </row>
    <row r="19" ht="15.75" customHeight="1">
      <c r="A19" s="137">
        <v>15.0</v>
      </c>
      <c r="B19" s="138">
        <f t="shared" si="1"/>
        <v>60</v>
      </c>
      <c r="C19" s="139">
        <v>19.0</v>
      </c>
      <c r="D19" s="140">
        <v>79.0</v>
      </c>
      <c r="E19" s="141">
        <v>9.0</v>
      </c>
      <c r="F19" s="142">
        <v>3.0</v>
      </c>
      <c r="G19" s="143">
        <v>0.0</v>
      </c>
      <c r="H19" s="143">
        <v>3.0</v>
      </c>
      <c r="I19" s="143">
        <v>4.0</v>
      </c>
      <c r="J19" s="143">
        <v>0.0</v>
      </c>
      <c r="K19" s="143">
        <v>0.0</v>
      </c>
      <c r="L19" s="143">
        <v>0.0</v>
      </c>
      <c r="M19" s="140">
        <f t="shared" si="2"/>
        <v>79</v>
      </c>
      <c r="N19" s="144">
        <v>20.0</v>
      </c>
      <c r="O19" s="144">
        <v>1.0</v>
      </c>
      <c r="P19" s="160">
        <v>0.0</v>
      </c>
      <c r="Q19" s="160">
        <v>0.0</v>
      </c>
      <c r="R19" s="160">
        <v>0.0</v>
      </c>
      <c r="S19" s="145">
        <v>1.0</v>
      </c>
      <c r="T19" s="146">
        <v>6.0</v>
      </c>
      <c r="U19" s="147">
        <v>30.0</v>
      </c>
      <c r="V19" s="148">
        <v>43.0</v>
      </c>
      <c r="W19" s="161">
        <v>0.0</v>
      </c>
      <c r="X19" s="149">
        <v>13.0</v>
      </c>
      <c r="Y19" s="150">
        <v>3.0</v>
      </c>
      <c r="Z19" s="151">
        <v>3.0</v>
      </c>
      <c r="AA19" s="152">
        <v>3.0</v>
      </c>
      <c r="AB19" s="153">
        <v>0.0</v>
      </c>
      <c r="AC19" s="154">
        <v>0.0</v>
      </c>
      <c r="AD19" s="155">
        <v>0.0</v>
      </c>
      <c r="AE19" s="100"/>
      <c r="AF19" s="100"/>
      <c r="AG19" s="157">
        <f t="shared" si="3"/>
        <v>43</v>
      </c>
      <c r="AH19" s="158">
        <f t="shared" si="4"/>
        <v>79</v>
      </c>
      <c r="AI19" s="156"/>
    </row>
    <row r="20" ht="15.75" customHeight="1">
      <c r="A20" s="137">
        <v>16.0</v>
      </c>
      <c r="B20" s="138">
        <f t="shared" si="1"/>
        <v>57</v>
      </c>
      <c r="C20" s="139">
        <v>28.0</v>
      </c>
      <c r="D20" s="140">
        <v>85.0</v>
      </c>
      <c r="E20" s="141">
        <v>6.0</v>
      </c>
      <c r="F20" s="142">
        <v>1.0</v>
      </c>
      <c r="G20" s="143">
        <v>0.0</v>
      </c>
      <c r="H20" s="143">
        <v>2.0</v>
      </c>
      <c r="I20" s="143">
        <v>2.0</v>
      </c>
      <c r="J20" s="143">
        <v>0.0</v>
      </c>
      <c r="K20" s="143">
        <v>0.0</v>
      </c>
      <c r="L20" s="143">
        <v>0.0</v>
      </c>
      <c r="M20" s="140">
        <f t="shared" si="2"/>
        <v>85</v>
      </c>
      <c r="N20" s="144">
        <v>18.0</v>
      </c>
      <c r="O20" s="144">
        <v>2.0</v>
      </c>
      <c r="P20" s="144">
        <v>0.0</v>
      </c>
      <c r="Q20" s="144">
        <v>0.0</v>
      </c>
      <c r="R20" s="144">
        <v>0.0</v>
      </c>
      <c r="S20" s="145">
        <v>1.0</v>
      </c>
      <c r="T20" s="146">
        <v>7.0</v>
      </c>
      <c r="U20" s="147">
        <v>43.0</v>
      </c>
      <c r="V20" s="148">
        <v>35.0</v>
      </c>
      <c r="W20" s="162">
        <v>0.0</v>
      </c>
      <c r="X20" s="149">
        <v>10.0</v>
      </c>
      <c r="Y20" s="150">
        <v>2.0</v>
      </c>
      <c r="Z20" s="151">
        <v>3.0</v>
      </c>
      <c r="AA20" s="152">
        <v>7.0</v>
      </c>
      <c r="AB20" s="153">
        <v>0.0</v>
      </c>
      <c r="AC20" s="154">
        <v>0.0</v>
      </c>
      <c r="AD20" s="155">
        <v>0.0</v>
      </c>
      <c r="AE20" s="100"/>
      <c r="AG20" s="157">
        <f t="shared" si="3"/>
        <v>35</v>
      </c>
      <c r="AH20" s="158">
        <f t="shared" si="4"/>
        <v>85</v>
      </c>
    </row>
    <row r="21" ht="15.75" customHeight="1">
      <c r="A21" s="137">
        <v>17.0</v>
      </c>
      <c r="B21" s="138">
        <f t="shared" si="1"/>
        <v>47</v>
      </c>
      <c r="C21" s="139">
        <v>22.0</v>
      </c>
      <c r="D21" s="140">
        <v>69.0</v>
      </c>
      <c r="E21" s="141">
        <v>3.0</v>
      </c>
      <c r="F21" s="142">
        <v>2.0</v>
      </c>
      <c r="G21" s="143">
        <v>0.0</v>
      </c>
      <c r="H21" s="143">
        <v>1.0</v>
      </c>
      <c r="I21" s="143">
        <v>4.0</v>
      </c>
      <c r="J21" s="143">
        <v>0.0</v>
      </c>
      <c r="K21" s="143">
        <v>0.0</v>
      </c>
      <c r="L21" s="143">
        <v>1.0</v>
      </c>
      <c r="M21" s="140">
        <f t="shared" si="2"/>
        <v>69</v>
      </c>
      <c r="N21" s="144">
        <v>18.0</v>
      </c>
      <c r="O21" s="144">
        <v>1.0</v>
      </c>
      <c r="P21" s="144">
        <v>0.0</v>
      </c>
      <c r="Q21" s="144">
        <v>0.0</v>
      </c>
      <c r="R21" s="144">
        <v>0.0</v>
      </c>
      <c r="S21" s="145">
        <v>1.0</v>
      </c>
      <c r="T21" s="146">
        <v>4.0</v>
      </c>
      <c r="U21" s="147">
        <v>42.0</v>
      </c>
      <c r="V21" s="148">
        <v>23.0</v>
      </c>
      <c r="W21" s="148">
        <v>0.0</v>
      </c>
      <c r="X21" s="149">
        <v>9.0</v>
      </c>
      <c r="Y21" s="150">
        <v>4.0</v>
      </c>
      <c r="Z21" s="151">
        <v>1.0</v>
      </c>
      <c r="AA21" s="152">
        <v>2.0</v>
      </c>
      <c r="AB21" s="153">
        <v>0.0</v>
      </c>
      <c r="AC21" s="154">
        <v>0.0</v>
      </c>
      <c r="AD21" s="155">
        <v>0.0</v>
      </c>
      <c r="AE21" s="100"/>
      <c r="AG21" s="157">
        <f t="shared" si="3"/>
        <v>23</v>
      </c>
      <c r="AH21" s="158">
        <f t="shared" si="4"/>
        <v>69</v>
      </c>
    </row>
    <row r="22" ht="15.75" customHeight="1">
      <c r="A22" s="137">
        <v>18.0</v>
      </c>
      <c r="B22" s="138">
        <f t="shared" si="1"/>
        <v>64</v>
      </c>
      <c r="C22" s="139">
        <v>16.0</v>
      </c>
      <c r="D22" s="140">
        <v>80.0</v>
      </c>
      <c r="E22" s="141">
        <v>9.0</v>
      </c>
      <c r="F22" s="142">
        <v>2.0</v>
      </c>
      <c r="G22" s="143">
        <v>0.0</v>
      </c>
      <c r="H22" s="143">
        <v>2.0</v>
      </c>
      <c r="I22" s="143">
        <v>0.0</v>
      </c>
      <c r="J22" s="143">
        <v>0.0</v>
      </c>
      <c r="K22" s="143">
        <v>0.0</v>
      </c>
      <c r="L22" s="143">
        <v>0.0</v>
      </c>
      <c r="M22" s="140">
        <f t="shared" si="2"/>
        <v>80</v>
      </c>
      <c r="N22" s="144">
        <v>18.0</v>
      </c>
      <c r="O22" s="144">
        <v>1.0</v>
      </c>
      <c r="P22" s="144">
        <v>0.0</v>
      </c>
      <c r="Q22" s="144">
        <v>0.0</v>
      </c>
      <c r="R22" s="144">
        <v>0.0</v>
      </c>
      <c r="S22" s="145">
        <v>0.0</v>
      </c>
      <c r="T22" s="146">
        <v>3.0</v>
      </c>
      <c r="U22" s="147">
        <v>53.0</v>
      </c>
      <c r="V22" s="148">
        <v>22.0</v>
      </c>
      <c r="W22" s="148">
        <v>2.0</v>
      </c>
      <c r="X22" s="149">
        <v>6.0</v>
      </c>
      <c r="Y22" s="150">
        <v>5.0</v>
      </c>
      <c r="Z22" s="151">
        <v>1.0</v>
      </c>
      <c r="AA22" s="152">
        <v>3.0</v>
      </c>
      <c r="AB22" s="153">
        <v>0.0</v>
      </c>
      <c r="AC22" s="154">
        <v>2.0</v>
      </c>
      <c r="AD22" s="155">
        <v>0.0</v>
      </c>
      <c r="AE22" s="100">
        <v>0.0</v>
      </c>
      <c r="AG22" s="157">
        <f t="shared" si="3"/>
        <v>24</v>
      </c>
      <c r="AH22" s="158">
        <f t="shared" si="4"/>
        <v>80</v>
      </c>
    </row>
    <row r="23" ht="15.75" customHeight="1">
      <c r="A23" s="137">
        <v>19.0</v>
      </c>
      <c r="B23" s="138">
        <f t="shared" si="1"/>
        <v>98</v>
      </c>
      <c r="C23" s="139">
        <v>14.0</v>
      </c>
      <c r="D23" s="140">
        <v>112.0</v>
      </c>
      <c r="E23" s="141">
        <v>18.0</v>
      </c>
      <c r="F23" s="142">
        <v>0.0</v>
      </c>
      <c r="G23" s="143">
        <v>2.0</v>
      </c>
      <c r="H23" s="143">
        <v>5.0</v>
      </c>
      <c r="I23" s="143">
        <v>6.0</v>
      </c>
      <c r="J23" s="143">
        <v>0.0</v>
      </c>
      <c r="K23" s="143">
        <v>0.0</v>
      </c>
      <c r="L23" s="143">
        <v>0.0</v>
      </c>
      <c r="M23" s="140">
        <v>112.0</v>
      </c>
      <c r="N23" s="144">
        <v>22.0</v>
      </c>
      <c r="O23" s="144">
        <v>0.0</v>
      </c>
      <c r="P23" s="144">
        <v>1.0</v>
      </c>
      <c r="Q23" s="144">
        <v>0.0</v>
      </c>
      <c r="R23" s="144">
        <v>0.0</v>
      </c>
      <c r="S23" s="145">
        <v>0.0</v>
      </c>
      <c r="T23" s="146">
        <v>4.0</v>
      </c>
      <c r="U23" s="147">
        <v>46.0</v>
      </c>
      <c r="V23" s="148">
        <v>62.0</v>
      </c>
      <c r="W23" s="148">
        <v>0.0</v>
      </c>
      <c r="X23" s="149">
        <v>17.0</v>
      </c>
      <c r="Y23" s="150">
        <v>8.0</v>
      </c>
      <c r="Z23" s="151">
        <v>2.0</v>
      </c>
      <c r="AA23" s="152">
        <v>6.0</v>
      </c>
      <c r="AB23" s="153">
        <v>1.0</v>
      </c>
      <c r="AC23" s="154">
        <v>0.0</v>
      </c>
      <c r="AD23" s="155">
        <v>0.0</v>
      </c>
      <c r="AE23" s="100">
        <v>0.0</v>
      </c>
      <c r="AG23" s="157">
        <f t="shared" si="3"/>
        <v>62</v>
      </c>
      <c r="AH23" s="158">
        <f t="shared" si="4"/>
        <v>112</v>
      </c>
    </row>
    <row r="24" ht="15.75" customHeight="1">
      <c r="A24" s="137">
        <v>20.0</v>
      </c>
      <c r="B24" s="138">
        <f t="shared" si="1"/>
        <v>103</v>
      </c>
      <c r="C24" s="139">
        <v>11.0</v>
      </c>
      <c r="D24" s="140">
        <v>114.0</v>
      </c>
      <c r="E24" s="141">
        <v>17.0</v>
      </c>
      <c r="F24" s="142">
        <v>2.0</v>
      </c>
      <c r="G24" s="143">
        <v>0.0</v>
      </c>
      <c r="H24" s="143">
        <v>1.0</v>
      </c>
      <c r="I24" s="143">
        <v>3.0</v>
      </c>
      <c r="J24" s="143">
        <v>0.0</v>
      </c>
      <c r="K24" s="143">
        <v>0.0</v>
      </c>
      <c r="L24" s="143">
        <v>0.0</v>
      </c>
      <c r="M24" s="140">
        <v>114.0</v>
      </c>
      <c r="N24" s="144">
        <v>30.0</v>
      </c>
      <c r="O24" s="144">
        <v>0.0</v>
      </c>
      <c r="P24" s="160">
        <v>0.0</v>
      </c>
      <c r="Q24" s="160">
        <v>0.0</v>
      </c>
      <c r="R24" s="160">
        <v>0.0</v>
      </c>
      <c r="S24" s="145">
        <v>0.0</v>
      </c>
      <c r="T24" s="146">
        <v>4.0</v>
      </c>
      <c r="U24" s="147">
        <v>75.0</v>
      </c>
      <c r="V24" s="148">
        <v>35.0</v>
      </c>
      <c r="W24" s="161">
        <v>0.0</v>
      </c>
      <c r="X24" s="149">
        <v>4.0</v>
      </c>
      <c r="Y24" s="150">
        <v>9.0</v>
      </c>
      <c r="Z24" s="151">
        <v>0.0</v>
      </c>
      <c r="AA24" s="152">
        <v>4.0</v>
      </c>
      <c r="AB24" s="153">
        <v>0.0</v>
      </c>
      <c r="AC24" s="154">
        <v>0.0</v>
      </c>
      <c r="AD24" s="155">
        <v>0.0</v>
      </c>
      <c r="AE24" s="100">
        <v>0.0</v>
      </c>
      <c r="AF24" s="163"/>
      <c r="AG24" s="157">
        <f t="shared" si="3"/>
        <v>35</v>
      </c>
      <c r="AH24" s="158">
        <f t="shared" si="4"/>
        <v>114</v>
      </c>
    </row>
    <row r="25" ht="15.75" customHeight="1">
      <c r="A25" s="137">
        <v>21.0</v>
      </c>
      <c r="B25" s="138">
        <f t="shared" si="1"/>
        <v>94</v>
      </c>
      <c r="C25" s="139">
        <v>33.0</v>
      </c>
      <c r="D25" s="140">
        <v>127.0</v>
      </c>
      <c r="E25" s="141">
        <v>12.0</v>
      </c>
      <c r="F25" s="142">
        <v>2.0</v>
      </c>
      <c r="G25" s="143">
        <v>0.0</v>
      </c>
      <c r="H25" s="143">
        <v>2.0</v>
      </c>
      <c r="I25" s="143">
        <v>4.0</v>
      </c>
      <c r="J25" s="143">
        <v>0.0</v>
      </c>
      <c r="K25" s="143">
        <v>0.0</v>
      </c>
      <c r="L25" s="143">
        <v>0.0</v>
      </c>
      <c r="M25" s="140">
        <v>127.0</v>
      </c>
      <c r="N25" s="144">
        <v>42.0</v>
      </c>
      <c r="O25" s="144">
        <v>2.0</v>
      </c>
      <c r="P25" s="160">
        <v>0.0</v>
      </c>
      <c r="Q25" s="160">
        <v>0.0</v>
      </c>
      <c r="R25" s="160">
        <v>0.0</v>
      </c>
      <c r="S25" s="145">
        <v>0.0</v>
      </c>
      <c r="T25" s="146">
        <v>7.0</v>
      </c>
      <c r="U25" s="147">
        <v>67.0</v>
      </c>
      <c r="V25" s="148">
        <v>53.0</v>
      </c>
      <c r="W25" s="161">
        <v>0.0</v>
      </c>
      <c r="X25" s="149">
        <v>4.0</v>
      </c>
      <c r="Y25" s="150">
        <v>2.0</v>
      </c>
      <c r="Z25" s="151">
        <v>4.0</v>
      </c>
      <c r="AA25" s="152">
        <v>6.0</v>
      </c>
      <c r="AB25" s="153">
        <v>0.0</v>
      </c>
      <c r="AC25" s="154">
        <v>0.0</v>
      </c>
      <c r="AD25" s="155">
        <v>0.0</v>
      </c>
      <c r="AE25" s="100">
        <v>0.0</v>
      </c>
      <c r="AF25" s="164"/>
      <c r="AG25" s="157">
        <f t="shared" si="3"/>
        <v>53</v>
      </c>
      <c r="AH25" s="158">
        <f t="shared" si="4"/>
        <v>127</v>
      </c>
    </row>
    <row r="26" ht="15.75" customHeight="1">
      <c r="A26" s="137">
        <v>22.0</v>
      </c>
      <c r="B26" s="138">
        <f t="shared" si="1"/>
        <v>127</v>
      </c>
      <c r="C26" s="139">
        <v>20.0</v>
      </c>
      <c r="D26" s="140">
        <v>147.0</v>
      </c>
      <c r="E26" s="141">
        <v>11.0</v>
      </c>
      <c r="F26" s="142">
        <v>1.0</v>
      </c>
      <c r="G26" s="143">
        <v>0.0</v>
      </c>
      <c r="H26" s="143">
        <v>3.0</v>
      </c>
      <c r="I26" s="143">
        <v>2.0</v>
      </c>
      <c r="J26" s="143">
        <v>0.0</v>
      </c>
      <c r="K26" s="143">
        <v>0.0</v>
      </c>
      <c r="L26" s="143">
        <v>0.0</v>
      </c>
      <c r="M26" s="140">
        <v>147.0</v>
      </c>
      <c r="N26" s="144">
        <v>41.0</v>
      </c>
      <c r="O26" s="144">
        <v>2.0</v>
      </c>
      <c r="P26" s="160">
        <v>0.0</v>
      </c>
      <c r="Q26" s="160">
        <v>0.0</v>
      </c>
      <c r="R26" s="160">
        <v>0.0</v>
      </c>
      <c r="S26" s="145">
        <v>0.0</v>
      </c>
      <c r="T26" s="146">
        <v>8.0</v>
      </c>
      <c r="U26" s="147">
        <v>66.0</v>
      </c>
      <c r="V26" s="148">
        <v>68.0</v>
      </c>
      <c r="W26" s="161">
        <v>5.0</v>
      </c>
      <c r="X26" s="149">
        <v>2.0</v>
      </c>
      <c r="Y26" s="150">
        <v>8.0</v>
      </c>
      <c r="Z26" s="151">
        <v>1.0</v>
      </c>
      <c r="AA26" s="152">
        <v>2.0</v>
      </c>
      <c r="AB26" s="153">
        <v>0.0</v>
      </c>
      <c r="AC26" s="154">
        <v>0.0</v>
      </c>
      <c r="AD26" s="155">
        <v>0.0</v>
      </c>
      <c r="AE26" s="100">
        <v>0.0</v>
      </c>
      <c r="AF26" s="164"/>
      <c r="AG26" s="157">
        <f t="shared" si="3"/>
        <v>73</v>
      </c>
      <c r="AH26" s="158">
        <f t="shared" si="4"/>
        <v>147</v>
      </c>
    </row>
    <row r="27" ht="15.75" customHeight="1">
      <c r="A27" s="137">
        <v>23.0</v>
      </c>
      <c r="B27" s="138">
        <f t="shared" si="1"/>
        <v>104</v>
      </c>
      <c r="C27" s="139">
        <v>35.0</v>
      </c>
      <c r="D27" s="140">
        <v>139.0</v>
      </c>
      <c r="E27" s="141">
        <v>15.0</v>
      </c>
      <c r="F27" s="142">
        <v>0.0</v>
      </c>
      <c r="G27" s="143">
        <v>1.0</v>
      </c>
      <c r="H27" s="143">
        <v>8.0</v>
      </c>
      <c r="I27" s="143">
        <v>2.0</v>
      </c>
      <c r="J27" s="143">
        <v>1.0</v>
      </c>
      <c r="K27" s="143">
        <v>0.0</v>
      </c>
      <c r="L27" s="143">
        <v>0.0</v>
      </c>
      <c r="M27" s="140">
        <v>139.0</v>
      </c>
      <c r="N27" s="144">
        <v>34.0</v>
      </c>
      <c r="O27" s="144">
        <v>1.0</v>
      </c>
      <c r="P27" s="160">
        <v>0.0</v>
      </c>
      <c r="Q27" s="160">
        <v>0.0</v>
      </c>
      <c r="R27" s="160">
        <v>0.0</v>
      </c>
      <c r="S27" s="145">
        <v>0.0</v>
      </c>
      <c r="T27" s="146">
        <v>8.0</v>
      </c>
      <c r="U27" s="147">
        <v>66.0</v>
      </c>
      <c r="V27" s="148">
        <v>63.0</v>
      </c>
      <c r="W27" s="161">
        <v>0.0</v>
      </c>
      <c r="X27" s="149">
        <v>4.0</v>
      </c>
      <c r="Y27" s="150">
        <v>9.0</v>
      </c>
      <c r="Z27" s="151">
        <v>0.0</v>
      </c>
      <c r="AA27" s="152">
        <v>5.0</v>
      </c>
      <c r="AB27" s="153">
        <v>0.0</v>
      </c>
      <c r="AC27" s="154">
        <v>0.0</v>
      </c>
      <c r="AD27" s="155">
        <v>0.0</v>
      </c>
      <c r="AE27" s="100">
        <v>0.0</v>
      </c>
      <c r="AG27" s="157">
        <f t="shared" si="3"/>
        <v>63</v>
      </c>
      <c r="AH27" s="158">
        <f t="shared" si="4"/>
        <v>137</v>
      </c>
    </row>
    <row r="28" ht="15.75" customHeight="1">
      <c r="A28" s="137">
        <v>24.0</v>
      </c>
      <c r="B28" s="138">
        <f t="shared" si="1"/>
        <v>70</v>
      </c>
      <c r="C28" s="139">
        <v>27.0</v>
      </c>
      <c r="D28" s="140">
        <v>97.0</v>
      </c>
      <c r="E28" s="141">
        <v>6.0</v>
      </c>
      <c r="F28" s="142">
        <v>0.0</v>
      </c>
      <c r="G28" s="143">
        <v>0.0</v>
      </c>
      <c r="H28" s="143">
        <v>1.0</v>
      </c>
      <c r="I28" s="143">
        <v>1.0</v>
      </c>
      <c r="J28" s="143">
        <v>1.0</v>
      </c>
      <c r="K28" s="143">
        <v>1.0</v>
      </c>
      <c r="L28" s="143">
        <v>0.0</v>
      </c>
      <c r="M28" s="140">
        <f t="shared" ref="M28:M35" si="5">D28</f>
        <v>97</v>
      </c>
      <c r="N28" s="144">
        <v>29.0</v>
      </c>
      <c r="O28" s="144">
        <v>0.0</v>
      </c>
      <c r="P28" s="160">
        <v>0.0</v>
      </c>
      <c r="Q28" s="160">
        <v>0.0</v>
      </c>
      <c r="R28" s="160">
        <v>0.0</v>
      </c>
      <c r="S28" s="145">
        <v>0.0</v>
      </c>
      <c r="T28" s="146">
        <v>10.0</v>
      </c>
      <c r="U28" s="147">
        <v>46.0</v>
      </c>
      <c r="V28" s="148">
        <v>41.0</v>
      </c>
      <c r="W28" s="161">
        <v>0.0</v>
      </c>
      <c r="X28" s="149">
        <v>9.0</v>
      </c>
      <c r="Y28" s="150">
        <v>5.0</v>
      </c>
      <c r="Z28" s="151">
        <v>4.0</v>
      </c>
      <c r="AA28" s="152">
        <v>8.0</v>
      </c>
      <c r="AB28" s="153">
        <v>0.0</v>
      </c>
      <c r="AC28" s="154">
        <v>0.0</v>
      </c>
      <c r="AD28" s="155">
        <v>0.0</v>
      </c>
      <c r="AE28" s="100"/>
      <c r="AF28" s="164"/>
      <c r="AG28" s="157">
        <f t="shared" si="3"/>
        <v>41</v>
      </c>
      <c r="AH28" s="158">
        <f t="shared" si="4"/>
        <v>97</v>
      </c>
    </row>
    <row r="29" ht="15.75" customHeight="1">
      <c r="A29" s="137">
        <v>25.0</v>
      </c>
      <c r="B29" s="138">
        <f t="shared" si="1"/>
        <v>95</v>
      </c>
      <c r="C29" s="139">
        <v>17.0</v>
      </c>
      <c r="D29" s="140">
        <v>112.0</v>
      </c>
      <c r="E29" s="141">
        <v>13.0</v>
      </c>
      <c r="F29" s="142">
        <v>1.0</v>
      </c>
      <c r="G29" s="143">
        <v>4.0</v>
      </c>
      <c r="H29" s="143">
        <v>5.0</v>
      </c>
      <c r="I29" s="143">
        <v>0.0</v>
      </c>
      <c r="J29" s="143">
        <v>0.0</v>
      </c>
      <c r="K29" s="143">
        <v>0.0</v>
      </c>
      <c r="L29" s="143">
        <v>0.0</v>
      </c>
      <c r="M29" s="140">
        <f t="shared" si="5"/>
        <v>112</v>
      </c>
      <c r="N29" s="144">
        <v>39.0</v>
      </c>
      <c r="O29" s="144">
        <v>0.0</v>
      </c>
      <c r="P29" s="144">
        <v>0.0</v>
      </c>
      <c r="Q29" s="144">
        <v>0.0</v>
      </c>
      <c r="R29" s="144">
        <v>0.0</v>
      </c>
      <c r="S29" s="145">
        <v>0.0</v>
      </c>
      <c r="T29" s="146">
        <v>5.0</v>
      </c>
      <c r="U29" s="147">
        <v>54.0</v>
      </c>
      <c r="V29" s="148">
        <v>52.0</v>
      </c>
      <c r="W29" s="148">
        <v>1.0</v>
      </c>
      <c r="X29" s="149">
        <v>20.0</v>
      </c>
      <c r="Y29" s="150">
        <v>7.0</v>
      </c>
      <c r="Z29" s="151">
        <v>3.0</v>
      </c>
      <c r="AA29" s="152">
        <v>4.0</v>
      </c>
      <c r="AB29" s="153">
        <v>1.0</v>
      </c>
      <c r="AC29" s="154">
        <v>0.0</v>
      </c>
      <c r="AD29" s="155">
        <v>0.0</v>
      </c>
      <c r="AE29" s="100"/>
      <c r="AG29" s="157">
        <f t="shared" si="3"/>
        <v>53</v>
      </c>
      <c r="AH29" s="158">
        <f t="shared" si="4"/>
        <v>112</v>
      </c>
    </row>
    <row r="30" ht="15.75" customHeight="1">
      <c r="A30" s="137">
        <v>26.0</v>
      </c>
      <c r="B30" s="138">
        <f t="shared" si="1"/>
        <v>66</v>
      </c>
      <c r="C30" s="139">
        <v>25.0</v>
      </c>
      <c r="D30" s="140">
        <v>91.0</v>
      </c>
      <c r="E30" s="141">
        <v>12.0</v>
      </c>
      <c r="F30" s="142">
        <v>0.0</v>
      </c>
      <c r="G30" s="143">
        <v>3.0</v>
      </c>
      <c r="H30" s="143">
        <v>3.0</v>
      </c>
      <c r="I30" s="143">
        <v>4.0</v>
      </c>
      <c r="J30" s="143">
        <v>0.0</v>
      </c>
      <c r="K30" s="143">
        <v>0.0</v>
      </c>
      <c r="L30" s="143">
        <v>0.0</v>
      </c>
      <c r="M30" s="140">
        <f t="shared" si="5"/>
        <v>91</v>
      </c>
      <c r="N30" s="144">
        <v>27.0</v>
      </c>
      <c r="O30" s="144">
        <v>2.0</v>
      </c>
      <c r="P30" s="144">
        <v>0.0</v>
      </c>
      <c r="Q30" s="144">
        <v>0.0</v>
      </c>
      <c r="R30" s="144">
        <v>0.0</v>
      </c>
      <c r="S30" s="145">
        <v>0.0</v>
      </c>
      <c r="T30" s="146">
        <v>2.0</v>
      </c>
      <c r="U30" s="147">
        <v>46.0</v>
      </c>
      <c r="V30" s="148">
        <v>43.0</v>
      </c>
      <c r="W30" s="148">
        <v>0.0</v>
      </c>
      <c r="X30" s="149">
        <v>14.0</v>
      </c>
      <c r="Y30" s="150">
        <v>5.0</v>
      </c>
      <c r="Z30" s="151">
        <v>5.0</v>
      </c>
      <c r="AA30" s="152">
        <v>5.0</v>
      </c>
      <c r="AB30" s="153">
        <v>0.0</v>
      </c>
      <c r="AC30" s="154">
        <v>0.0</v>
      </c>
      <c r="AD30" s="155">
        <v>0.0</v>
      </c>
      <c r="AE30" s="100"/>
      <c r="AF30" s="100"/>
      <c r="AG30" s="157">
        <f t="shared" si="3"/>
        <v>43</v>
      </c>
      <c r="AH30" s="158">
        <f t="shared" si="4"/>
        <v>91</v>
      </c>
      <c r="AI30" s="156"/>
    </row>
    <row r="31" ht="15.75" customHeight="1">
      <c r="A31" s="137">
        <v>27.0</v>
      </c>
      <c r="B31" s="138">
        <f t="shared" si="1"/>
        <v>76</v>
      </c>
      <c r="C31" s="139">
        <v>28.0</v>
      </c>
      <c r="D31" s="140">
        <v>104.0</v>
      </c>
      <c r="E31" s="141">
        <v>9.0</v>
      </c>
      <c r="F31" s="142">
        <v>1.0</v>
      </c>
      <c r="G31" s="143">
        <v>1.0</v>
      </c>
      <c r="H31" s="143">
        <v>1.0</v>
      </c>
      <c r="I31" s="143">
        <v>3.0</v>
      </c>
      <c r="J31" s="143">
        <v>0.0</v>
      </c>
      <c r="K31" s="143">
        <v>1.0</v>
      </c>
      <c r="L31" s="143">
        <v>0.0</v>
      </c>
      <c r="M31" s="140">
        <f t="shared" si="5"/>
        <v>104</v>
      </c>
      <c r="N31" s="144">
        <v>41.0</v>
      </c>
      <c r="O31" s="144">
        <v>0.0</v>
      </c>
      <c r="P31" s="144">
        <v>0.0</v>
      </c>
      <c r="Q31" s="144">
        <v>0.0</v>
      </c>
      <c r="R31" s="144">
        <v>0.0</v>
      </c>
      <c r="S31" s="145">
        <v>0.0</v>
      </c>
      <c r="T31" s="146">
        <v>9.0</v>
      </c>
      <c r="U31" s="147">
        <v>37.0</v>
      </c>
      <c r="V31" s="148">
        <v>54.0</v>
      </c>
      <c r="W31" s="148">
        <v>4.0</v>
      </c>
      <c r="X31" s="149">
        <v>5.0</v>
      </c>
      <c r="Y31" s="150">
        <v>6.0</v>
      </c>
      <c r="Z31" s="151">
        <v>1.0</v>
      </c>
      <c r="AA31" s="152">
        <v>4.0</v>
      </c>
      <c r="AB31" s="153">
        <v>0.0</v>
      </c>
      <c r="AC31" s="154">
        <v>0.0</v>
      </c>
      <c r="AD31" s="155">
        <v>0.0</v>
      </c>
      <c r="AE31" s="100"/>
      <c r="AG31" s="157">
        <f t="shared" si="3"/>
        <v>58</v>
      </c>
      <c r="AH31" s="158">
        <f t="shared" si="4"/>
        <v>104</v>
      </c>
      <c r="AI31" s="163"/>
    </row>
    <row r="32" ht="15.75" customHeight="1">
      <c r="A32" s="137">
        <v>28.0</v>
      </c>
      <c r="B32" s="138">
        <f t="shared" si="1"/>
        <v>81</v>
      </c>
      <c r="C32" s="139">
        <v>24.0</v>
      </c>
      <c r="D32" s="140">
        <v>105.0</v>
      </c>
      <c r="E32" s="141">
        <v>6.0</v>
      </c>
      <c r="F32" s="142">
        <v>2.0</v>
      </c>
      <c r="G32" s="143">
        <v>0.0</v>
      </c>
      <c r="H32" s="143">
        <v>1.0</v>
      </c>
      <c r="I32" s="143">
        <v>1.0</v>
      </c>
      <c r="J32" s="143">
        <v>0.0</v>
      </c>
      <c r="K32" s="143">
        <v>0.0</v>
      </c>
      <c r="L32" s="143">
        <v>0.0</v>
      </c>
      <c r="M32" s="140">
        <f t="shared" si="5"/>
        <v>105</v>
      </c>
      <c r="N32" s="144">
        <v>38.0</v>
      </c>
      <c r="O32" s="144">
        <v>0.0</v>
      </c>
      <c r="P32" s="144">
        <v>0.0</v>
      </c>
      <c r="Q32" s="144">
        <v>0.0</v>
      </c>
      <c r="R32" s="144">
        <v>0.0</v>
      </c>
      <c r="S32" s="145">
        <v>0.0</v>
      </c>
      <c r="T32" s="146">
        <v>5.0</v>
      </c>
      <c r="U32" s="147">
        <v>40.0</v>
      </c>
      <c r="V32" s="148">
        <v>60.0</v>
      </c>
      <c r="W32" s="148">
        <v>0.0</v>
      </c>
      <c r="X32" s="149">
        <v>2.0</v>
      </c>
      <c r="Y32" s="150">
        <v>3.0</v>
      </c>
      <c r="Z32" s="151">
        <v>2.0</v>
      </c>
      <c r="AA32" s="152">
        <v>4.0</v>
      </c>
      <c r="AB32" s="153">
        <v>0.0</v>
      </c>
      <c r="AC32" s="154">
        <v>0.0</v>
      </c>
      <c r="AD32" s="155">
        <v>0.0</v>
      </c>
      <c r="AE32" s="100"/>
      <c r="AF32" s="100"/>
      <c r="AG32" s="157">
        <f t="shared" si="3"/>
        <v>60</v>
      </c>
      <c r="AH32" s="158">
        <f t="shared" si="4"/>
        <v>105</v>
      </c>
      <c r="AI32" s="156"/>
    </row>
    <row r="33" ht="15.75" customHeight="1">
      <c r="A33" s="137">
        <v>29.0</v>
      </c>
      <c r="B33" s="138">
        <f t="shared" si="1"/>
        <v>67</v>
      </c>
      <c r="C33" s="139">
        <v>31.0</v>
      </c>
      <c r="D33" s="140">
        <v>98.0</v>
      </c>
      <c r="E33" s="141">
        <v>2.0</v>
      </c>
      <c r="F33" s="142">
        <v>3.0</v>
      </c>
      <c r="G33" s="143">
        <v>3.0</v>
      </c>
      <c r="H33" s="143">
        <v>2.0</v>
      </c>
      <c r="I33" s="143">
        <v>3.0</v>
      </c>
      <c r="J33" s="143">
        <v>1.0</v>
      </c>
      <c r="K33" s="143">
        <v>0.0</v>
      </c>
      <c r="L33" s="143">
        <v>0.0</v>
      </c>
      <c r="M33" s="140">
        <f t="shared" si="5"/>
        <v>98</v>
      </c>
      <c r="N33" s="144">
        <v>32.0</v>
      </c>
      <c r="O33" s="144">
        <v>0.0</v>
      </c>
      <c r="P33" s="144">
        <v>0.0</v>
      </c>
      <c r="Q33" s="144">
        <v>0.0</v>
      </c>
      <c r="R33" s="144">
        <v>0.0</v>
      </c>
      <c r="S33" s="145">
        <v>0.0</v>
      </c>
      <c r="T33" s="146">
        <v>6.0</v>
      </c>
      <c r="U33" s="147">
        <v>56.0</v>
      </c>
      <c r="V33" s="148">
        <v>36.0</v>
      </c>
      <c r="W33" s="148">
        <v>0.0</v>
      </c>
      <c r="X33" s="149">
        <v>13.0</v>
      </c>
      <c r="Y33" s="150">
        <v>4.0</v>
      </c>
      <c r="Z33" s="151">
        <v>2.0</v>
      </c>
      <c r="AA33" s="152">
        <v>4.0</v>
      </c>
      <c r="AB33" s="153">
        <v>0.0</v>
      </c>
      <c r="AC33" s="154">
        <v>0.0</v>
      </c>
      <c r="AD33" s="155">
        <v>0.0</v>
      </c>
      <c r="AE33" s="100"/>
      <c r="AG33" s="157">
        <f t="shared" si="3"/>
        <v>36</v>
      </c>
      <c r="AH33" s="158">
        <f t="shared" si="4"/>
        <v>98</v>
      </c>
    </row>
    <row r="34" ht="15.75" customHeight="1">
      <c r="A34" s="137">
        <v>30.0</v>
      </c>
      <c r="B34" s="138">
        <f t="shared" si="1"/>
        <v>81</v>
      </c>
      <c r="C34" s="139">
        <v>15.0</v>
      </c>
      <c r="D34" s="140">
        <v>96.0</v>
      </c>
      <c r="E34" s="141">
        <v>3.0</v>
      </c>
      <c r="F34" s="142">
        <v>1.0</v>
      </c>
      <c r="G34" s="143">
        <v>1.0</v>
      </c>
      <c r="H34" s="143">
        <v>1.0</v>
      </c>
      <c r="I34" s="143">
        <v>0.0</v>
      </c>
      <c r="J34" s="143">
        <v>0.0</v>
      </c>
      <c r="K34" s="143">
        <v>0.0</v>
      </c>
      <c r="L34" s="143">
        <v>0.0</v>
      </c>
      <c r="M34" s="140">
        <f t="shared" si="5"/>
        <v>96</v>
      </c>
      <c r="N34" s="144">
        <v>29.0</v>
      </c>
      <c r="O34" s="144">
        <v>0.0</v>
      </c>
      <c r="P34" s="144">
        <v>0.0</v>
      </c>
      <c r="Q34" s="144">
        <v>0.0</v>
      </c>
      <c r="R34" s="144">
        <v>0.0</v>
      </c>
      <c r="S34" s="145">
        <v>0.0</v>
      </c>
      <c r="T34" s="146">
        <v>13.0</v>
      </c>
      <c r="U34" s="147">
        <v>44.0</v>
      </c>
      <c r="V34" s="148">
        <v>34.0</v>
      </c>
      <c r="W34" s="148">
        <v>7.0</v>
      </c>
      <c r="X34" s="149">
        <v>11.0</v>
      </c>
      <c r="Y34" s="150">
        <v>3.0</v>
      </c>
      <c r="Z34" s="151">
        <v>2.0</v>
      </c>
      <c r="AA34" s="152">
        <v>3.0</v>
      </c>
      <c r="AB34" s="153">
        <v>0.0</v>
      </c>
      <c r="AC34" s="154">
        <v>0.0</v>
      </c>
      <c r="AD34" s="155">
        <v>0.0</v>
      </c>
      <c r="AE34" s="100"/>
      <c r="AG34" s="157">
        <f t="shared" si="3"/>
        <v>41</v>
      </c>
      <c r="AH34" s="158">
        <f t="shared" si="4"/>
        <v>98</v>
      </c>
    </row>
    <row r="35" ht="15.75" customHeight="1">
      <c r="A35" s="137">
        <v>31.0</v>
      </c>
      <c r="B35" s="138">
        <f t="shared" si="1"/>
        <v>59</v>
      </c>
      <c r="C35" s="139">
        <v>28.0</v>
      </c>
      <c r="D35" s="140">
        <v>87.0</v>
      </c>
      <c r="E35" s="141">
        <v>5.0</v>
      </c>
      <c r="F35" s="142">
        <v>0.0</v>
      </c>
      <c r="G35" s="143">
        <v>0.0</v>
      </c>
      <c r="H35" s="143">
        <v>1.0</v>
      </c>
      <c r="I35" s="143">
        <v>0.0</v>
      </c>
      <c r="J35" s="143">
        <v>0.0</v>
      </c>
      <c r="K35" s="143">
        <v>0.0</v>
      </c>
      <c r="L35" s="143">
        <v>0.0</v>
      </c>
      <c r="M35" s="140">
        <f t="shared" si="5"/>
        <v>87</v>
      </c>
      <c r="N35" s="144">
        <v>28.0</v>
      </c>
      <c r="O35" s="144">
        <v>0.0</v>
      </c>
      <c r="P35" s="144">
        <v>0.0</v>
      </c>
      <c r="Q35" s="144">
        <v>0.0</v>
      </c>
      <c r="R35" s="144">
        <v>0.0</v>
      </c>
      <c r="S35" s="145">
        <v>0.0</v>
      </c>
      <c r="T35" s="146">
        <v>3.0</v>
      </c>
      <c r="U35" s="147">
        <v>40.0</v>
      </c>
      <c r="V35" s="148">
        <v>44.0</v>
      </c>
      <c r="W35" s="148">
        <v>0.0</v>
      </c>
      <c r="X35" s="149">
        <v>20.0</v>
      </c>
      <c r="Y35" s="150">
        <v>1.0</v>
      </c>
      <c r="Z35" s="151">
        <v>1.0</v>
      </c>
      <c r="AA35" s="152">
        <v>4.0</v>
      </c>
      <c r="AB35" s="153">
        <v>0.0</v>
      </c>
      <c r="AC35" s="154">
        <v>0.0</v>
      </c>
      <c r="AD35" s="155">
        <v>0.0</v>
      </c>
      <c r="AE35" s="100"/>
      <c r="AG35" s="165">
        <f t="shared" si="3"/>
        <v>44</v>
      </c>
      <c r="AH35" s="166">
        <f t="shared" si="4"/>
        <v>87</v>
      </c>
    </row>
    <row r="36" ht="33.0" customHeight="1">
      <c r="A36" s="167" t="s">
        <v>5</v>
      </c>
      <c r="B36" s="168" t="s">
        <v>6</v>
      </c>
      <c r="C36" s="167" t="s">
        <v>7</v>
      </c>
      <c r="D36" s="169" t="s">
        <v>8</v>
      </c>
      <c r="E36" s="170" t="s">
        <v>9</v>
      </c>
      <c r="F36" s="171" t="s">
        <v>10</v>
      </c>
      <c r="G36" s="117" t="s">
        <v>11</v>
      </c>
      <c r="H36" s="117" t="s">
        <v>12</v>
      </c>
      <c r="I36" s="117" t="s">
        <v>13</v>
      </c>
      <c r="J36" s="117" t="s">
        <v>14</v>
      </c>
      <c r="K36" s="117" t="s">
        <v>15</v>
      </c>
      <c r="L36" s="117" t="s">
        <v>16</v>
      </c>
      <c r="M36" s="118" t="s">
        <v>33</v>
      </c>
      <c r="N36" s="172" t="s">
        <v>18</v>
      </c>
      <c r="O36" s="172" t="s">
        <v>19</v>
      </c>
      <c r="P36" s="173" t="s">
        <v>20</v>
      </c>
      <c r="Q36" s="173" t="s">
        <v>21</v>
      </c>
      <c r="R36" s="173" t="s">
        <v>22</v>
      </c>
      <c r="S36" s="174" t="s">
        <v>23</v>
      </c>
      <c r="T36" s="175" t="s">
        <v>24</v>
      </c>
      <c r="U36" s="176" t="s">
        <v>25</v>
      </c>
      <c r="V36" s="177" t="s">
        <v>34</v>
      </c>
      <c r="W36" s="177" t="s">
        <v>35</v>
      </c>
      <c r="X36" s="178" t="s">
        <v>28</v>
      </c>
      <c r="Y36" s="179" t="s">
        <v>29</v>
      </c>
      <c r="Z36" s="180" t="s">
        <v>23</v>
      </c>
      <c r="AA36" s="168" t="s">
        <v>30</v>
      </c>
      <c r="AB36" s="181" t="s">
        <v>31</v>
      </c>
      <c r="AC36" s="182" t="s">
        <v>32</v>
      </c>
      <c r="AD36" s="183" t="s">
        <v>23</v>
      </c>
      <c r="AE36" s="100"/>
      <c r="AG36" s="184">
        <f t="shared" ref="AG36:AH36" si="6">SUM(AG5:AG35)</f>
        <v>1323</v>
      </c>
      <c r="AH36" s="185">
        <f t="shared" si="6"/>
        <v>2886</v>
      </c>
    </row>
    <row r="37" ht="27.0" customHeight="1">
      <c r="A37" s="186" t="s">
        <v>8</v>
      </c>
      <c r="B37" s="168">
        <f t="shared" ref="B37:M37" si="7">SUM(B5:B35)</f>
        <v>2219</v>
      </c>
      <c r="C37" s="187">
        <f t="shared" si="7"/>
        <v>667</v>
      </c>
      <c r="D37" s="169">
        <f t="shared" si="7"/>
        <v>2886</v>
      </c>
      <c r="E37" s="170">
        <f t="shared" si="7"/>
        <v>222</v>
      </c>
      <c r="F37" s="188">
        <f t="shared" si="7"/>
        <v>35</v>
      </c>
      <c r="G37" s="186">
        <f t="shared" si="7"/>
        <v>22</v>
      </c>
      <c r="H37" s="186">
        <f t="shared" si="7"/>
        <v>67</v>
      </c>
      <c r="I37" s="186">
        <f t="shared" si="7"/>
        <v>60</v>
      </c>
      <c r="J37" s="186">
        <f t="shared" si="7"/>
        <v>6</v>
      </c>
      <c r="K37" s="186">
        <f t="shared" si="7"/>
        <v>2</v>
      </c>
      <c r="L37" s="186">
        <f t="shared" si="7"/>
        <v>2</v>
      </c>
      <c r="M37" s="169">
        <f t="shared" si="7"/>
        <v>2886</v>
      </c>
      <c r="N37" s="189">
        <f t="shared" ref="N37:O37" si="8">SUM(N5:N36)</f>
        <v>794</v>
      </c>
      <c r="O37" s="189">
        <f t="shared" si="8"/>
        <v>20</v>
      </c>
      <c r="P37" s="190" t="s">
        <v>4</v>
      </c>
      <c r="Q37" s="2"/>
      <c r="R37" s="2"/>
      <c r="S37" s="3"/>
      <c r="T37" s="191">
        <f t="shared" ref="T37:AD37" si="9">SUM(T5:T35)</f>
        <v>163</v>
      </c>
      <c r="U37" s="192">
        <f t="shared" si="9"/>
        <v>1400</v>
      </c>
      <c r="V37" s="167">
        <f t="shared" si="9"/>
        <v>1288</v>
      </c>
      <c r="W37" s="167">
        <f t="shared" si="9"/>
        <v>35</v>
      </c>
      <c r="X37" s="178">
        <f t="shared" si="9"/>
        <v>259</v>
      </c>
      <c r="Y37" s="179">
        <f t="shared" si="9"/>
        <v>148</v>
      </c>
      <c r="Z37" s="180">
        <f t="shared" si="9"/>
        <v>48</v>
      </c>
      <c r="AA37" s="168">
        <f t="shared" si="9"/>
        <v>111</v>
      </c>
      <c r="AB37" s="181">
        <f t="shared" si="9"/>
        <v>4</v>
      </c>
      <c r="AC37" s="182">
        <f t="shared" si="9"/>
        <v>2</v>
      </c>
      <c r="AD37" s="183">
        <f t="shared" si="9"/>
        <v>0</v>
      </c>
      <c r="AE37" s="193"/>
      <c r="AF37" s="194"/>
      <c r="AG37" s="195"/>
      <c r="AH37" s="194"/>
      <c r="AI37" s="194"/>
    </row>
    <row r="38" ht="18.75" customHeight="1">
      <c r="A38" s="19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197"/>
      <c r="O38" s="198"/>
      <c r="P38" s="189">
        <f t="shared" ref="P38:S38" si="10">SUM(P5:P35)</f>
        <v>2</v>
      </c>
      <c r="Q38" s="189">
        <f t="shared" si="10"/>
        <v>0</v>
      </c>
      <c r="R38" s="189">
        <f t="shared" si="10"/>
        <v>0</v>
      </c>
      <c r="S38" s="189">
        <f t="shared" si="10"/>
        <v>5</v>
      </c>
      <c r="T38" s="199"/>
      <c r="U38" s="3"/>
      <c r="V38" s="200">
        <f>SUM(V37,W37)</f>
        <v>1323</v>
      </c>
      <c r="W38" s="78"/>
      <c r="X38" s="196"/>
      <c r="Y38" s="2"/>
      <c r="Z38" s="3"/>
      <c r="AA38" s="196"/>
      <c r="AB38" s="2"/>
      <c r="AC38" s="2"/>
      <c r="AD38" s="3"/>
      <c r="AE38" s="193"/>
      <c r="AF38" s="194"/>
      <c r="AG38" s="195"/>
      <c r="AH38" s="194"/>
      <c r="AI38" s="194"/>
    </row>
    <row r="39" ht="21.75" customHeight="1">
      <c r="A39" s="19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201"/>
      <c r="O39" s="202"/>
      <c r="P39" s="2"/>
      <c r="Q39" s="2"/>
      <c r="R39" s="2"/>
      <c r="S39" s="3"/>
      <c r="T39" s="203">
        <f>SUM(T37,U37,V38)</f>
        <v>2886</v>
      </c>
      <c r="U39" s="2"/>
      <c r="V39" s="2"/>
      <c r="W39" s="78"/>
      <c r="X39" s="199">
        <f>SUM(X37:Z37)</f>
        <v>455</v>
      </c>
      <c r="Y39" s="2"/>
      <c r="Z39" s="3"/>
      <c r="AA39" s="199">
        <f>SUM(AA37:AD37)</f>
        <v>117</v>
      </c>
      <c r="AB39" s="2"/>
      <c r="AC39" s="2"/>
      <c r="AD39" s="3"/>
      <c r="AE39" s="100"/>
      <c r="AF39" s="194"/>
      <c r="AG39" s="195"/>
      <c r="AH39" s="194"/>
      <c r="AI39" s="194"/>
    </row>
    <row r="40" ht="15.75" customHeight="1">
      <c r="A40" s="99"/>
      <c r="B40" s="99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99"/>
    </row>
    <row r="41" ht="15.75" customHeight="1">
      <c r="A41" s="99"/>
      <c r="B41" s="99"/>
      <c r="C41" s="100"/>
      <c r="D41" s="100" t="s">
        <v>40</v>
      </c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 t="s">
        <v>41</v>
      </c>
      <c r="AA41" s="100"/>
      <c r="AB41" s="100"/>
      <c r="AC41" s="100"/>
      <c r="AD41" s="100"/>
      <c r="AE41" s="100"/>
      <c r="AF41" s="100"/>
      <c r="AG41" s="99"/>
    </row>
    <row r="42" ht="15.75" customHeight="1">
      <c r="A42" s="99"/>
      <c r="B42" s="99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99"/>
    </row>
    <row r="43" ht="15.75" customHeight="1">
      <c r="A43" s="99"/>
      <c r="B43" s="99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99"/>
    </row>
    <row r="44" ht="15.75" customHeight="1">
      <c r="A44" s="99"/>
      <c r="B44" s="99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99"/>
    </row>
    <row r="45" ht="15.75" customHeight="1">
      <c r="A45" s="99"/>
      <c r="B45" s="99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99"/>
    </row>
    <row r="46" ht="15.75" customHeight="1">
      <c r="A46" s="99"/>
      <c r="B46" s="99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99"/>
    </row>
    <row r="47" ht="15.75" customHeight="1">
      <c r="A47" s="99"/>
      <c r="B47" s="99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99"/>
    </row>
    <row r="48" ht="15.75" customHeight="1">
      <c r="A48" s="99"/>
      <c r="B48" s="99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99"/>
    </row>
    <row r="49" ht="15.75" customHeight="1">
      <c r="A49" s="99"/>
      <c r="B49" s="99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99"/>
    </row>
    <row r="50" ht="15.75" customHeight="1">
      <c r="A50" s="99"/>
      <c r="B50" s="99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99"/>
    </row>
    <row r="51" ht="15.75" customHeight="1">
      <c r="A51" s="99"/>
      <c r="B51" s="99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99"/>
    </row>
    <row r="52" ht="15.75" customHeight="1">
      <c r="A52" s="99"/>
      <c r="B52" s="99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99"/>
    </row>
    <row r="53" ht="15.75" customHeight="1">
      <c r="A53" s="99"/>
      <c r="B53" s="99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99"/>
    </row>
    <row r="54" ht="15.75" customHeight="1">
      <c r="A54" s="99"/>
      <c r="B54" s="99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99"/>
    </row>
    <row r="55" ht="15.75" customHeight="1">
      <c r="A55" s="99"/>
      <c r="B55" s="99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99"/>
    </row>
    <row r="56" ht="15.75" customHeight="1">
      <c r="A56" s="99"/>
      <c r="B56" s="99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99"/>
    </row>
    <row r="57" ht="15.75" customHeight="1">
      <c r="A57" s="99"/>
      <c r="B57" s="99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99"/>
    </row>
    <row r="58" ht="15.75" customHeight="1">
      <c r="A58" s="99"/>
      <c r="B58" s="99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99"/>
    </row>
    <row r="59" ht="15.75" customHeight="1">
      <c r="A59" s="99"/>
      <c r="B59" s="99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99"/>
    </row>
    <row r="60" ht="15.75" customHeight="1">
      <c r="A60" s="99"/>
      <c r="B60" s="99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99"/>
    </row>
    <row r="61" ht="15.75" customHeight="1">
      <c r="A61" s="99"/>
      <c r="B61" s="99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99"/>
    </row>
    <row r="62" ht="15.75" customHeight="1">
      <c r="A62" s="99"/>
      <c r="B62" s="99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99"/>
    </row>
    <row r="63" ht="15.75" customHeight="1">
      <c r="A63" s="99"/>
      <c r="B63" s="99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99"/>
    </row>
    <row r="64" ht="15.75" customHeight="1">
      <c r="A64" s="99"/>
      <c r="B64" s="99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99"/>
    </row>
    <row r="65" ht="15.75" customHeight="1">
      <c r="A65" s="99"/>
      <c r="B65" s="99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99"/>
    </row>
    <row r="66" ht="15.75" customHeight="1">
      <c r="A66" s="99"/>
      <c r="B66" s="99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99"/>
    </row>
    <row r="67" ht="15.75" customHeight="1">
      <c r="A67" s="99"/>
      <c r="B67" s="99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99"/>
    </row>
    <row r="68" ht="15.75" customHeight="1">
      <c r="A68" s="99"/>
      <c r="B68" s="99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99"/>
    </row>
    <row r="69" ht="15.75" customHeight="1">
      <c r="A69" s="99"/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99"/>
    </row>
    <row r="70" ht="15.75" customHeight="1">
      <c r="A70" s="99"/>
      <c r="B70" s="99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99"/>
    </row>
    <row r="71" ht="15.75" customHeight="1">
      <c r="A71" s="99"/>
      <c r="B71" s="99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99"/>
    </row>
    <row r="72" ht="15.75" customHeight="1">
      <c r="A72" s="99"/>
      <c r="B72" s="99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99"/>
    </row>
    <row r="73" ht="15.75" customHeight="1">
      <c r="A73" s="99"/>
      <c r="B73" s="99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99"/>
    </row>
    <row r="74" ht="15.75" customHeight="1">
      <c r="A74" s="99"/>
      <c r="B74" s="99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99"/>
    </row>
    <row r="75" ht="15.75" customHeight="1">
      <c r="A75" s="99"/>
      <c r="B75" s="99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99"/>
    </row>
    <row r="76" ht="15.75" customHeight="1">
      <c r="A76" s="99"/>
      <c r="B76" s="99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99"/>
    </row>
    <row r="77" ht="15.75" customHeight="1">
      <c r="A77" s="99"/>
      <c r="B77" s="99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99"/>
    </row>
    <row r="78" ht="15.75" customHeight="1">
      <c r="A78" s="99"/>
      <c r="B78" s="99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99"/>
    </row>
    <row r="79" ht="15.75" customHeight="1">
      <c r="A79" s="99"/>
      <c r="B79" s="99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99"/>
    </row>
    <row r="80" ht="15.75" customHeight="1">
      <c r="A80" s="99"/>
      <c r="B80" s="99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99"/>
    </row>
    <row r="81" ht="15.75" customHeight="1">
      <c r="A81" s="99"/>
      <c r="B81" s="99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99"/>
    </row>
    <row r="82" ht="15.75" customHeight="1">
      <c r="A82" s="99"/>
      <c r="B82" s="99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99"/>
    </row>
    <row r="83" ht="15.75" customHeight="1">
      <c r="A83" s="99"/>
      <c r="B83" s="99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99"/>
    </row>
    <row r="84" ht="15.75" customHeight="1">
      <c r="A84" s="99"/>
      <c r="B84" s="99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99"/>
    </row>
    <row r="85" ht="15.75" customHeight="1">
      <c r="A85" s="99"/>
      <c r="B85" s="99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99"/>
    </row>
    <row r="86" ht="15.75" customHeight="1">
      <c r="A86" s="99"/>
      <c r="B86" s="99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99"/>
    </row>
    <row r="87" ht="15.75" customHeight="1">
      <c r="A87" s="99"/>
      <c r="B87" s="99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99"/>
    </row>
    <row r="88" ht="15.75" customHeight="1">
      <c r="A88" s="99"/>
      <c r="B88" s="99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99"/>
    </row>
    <row r="89" ht="15.75" customHeight="1">
      <c r="A89" s="99"/>
      <c r="B89" s="99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99"/>
    </row>
    <row r="90" ht="15.75" customHeight="1">
      <c r="A90" s="99"/>
      <c r="B90" s="99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99"/>
    </row>
    <row r="91" ht="15.75" customHeight="1">
      <c r="A91" s="99"/>
      <c r="B91" s="99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99"/>
    </row>
    <row r="92" ht="15.75" customHeight="1">
      <c r="A92" s="99"/>
      <c r="B92" s="99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99"/>
    </row>
    <row r="93" ht="15.75" customHeight="1">
      <c r="A93" s="99"/>
      <c r="B93" s="99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99"/>
    </row>
    <row r="94" ht="15.75" customHeight="1">
      <c r="A94" s="99"/>
      <c r="B94" s="99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99"/>
    </row>
    <row r="95" ht="15.75" customHeight="1">
      <c r="A95" s="99"/>
      <c r="B95" s="99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99"/>
    </row>
    <row r="96" ht="15.75" customHeight="1">
      <c r="A96" s="99"/>
      <c r="B96" s="99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99"/>
    </row>
    <row r="97" ht="15.75" customHeight="1">
      <c r="A97" s="99"/>
      <c r="B97" s="99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99"/>
    </row>
    <row r="98" ht="15.75" customHeight="1">
      <c r="A98" s="99"/>
      <c r="B98" s="99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99"/>
    </row>
    <row r="99" ht="15.75" customHeight="1">
      <c r="A99" s="99"/>
      <c r="B99" s="99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99"/>
    </row>
    <row r="100" ht="15.75" customHeight="1">
      <c r="A100" s="99"/>
      <c r="B100" s="99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99"/>
    </row>
    <row r="101" ht="15.75" customHeight="1">
      <c r="A101" s="99"/>
      <c r="B101" s="99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99"/>
    </row>
    <row r="102" ht="15.75" customHeight="1">
      <c r="A102" s="99"/>
      <c r="B102" s="99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99"/>
    </row>
    <row r="103" ht="15.75" customHeight="1">
      <c r="A103" s="99"/>
      <c r="B103" s="99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99"/>
    </row>
    <row r="104" ht="15.75" customHeight="1">
      <c r="A104" s="99"/>
      <c r="B104" s="99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99"/>
    </row>
    <row r="105" ht="15.75" customHeight="1">
      <c r="A105" s="99"/>
      <c r="B105" s="99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99"/>
    </row>
    <row r="106" ht="15.75" customHeight="1">
      <c r="A106" s="99"/>
      <c r="B106" s="99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99"/>
    </row>
    <row r="107" ht="15.75" customHeight="1">
      <c r="A107" s="99"/>
      <c r="B107" s="99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99"/>
    </row>
    <row r="108" ht="15.75" customHeight="1">
      <c r="A108" s="99"/>
      <c r="B108" s="99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99"/>
    </row>
    <row r="109" ht="15.75" customHeight="1">
      <c r="A109" s="99"/>
      <c r="B109" s="99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99"/>
    </row>
    <row r="110" ht="15.75" customHeight="1">
      <c r="A110" s="99"/>
      <c r="B110" s="99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99"/>
    </row>
    <row r="111" ht="15.75" customHeight="1">
      <c r="A111" s="99"/>
      <c r="B111" s="99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99"/>
    </row>
    <row r="112" ht="15.75" customHeight="1">
      <c r="A112" s="99"/>
      <c r="B112" s="99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99"/>
    </row>
    <row r="113" ht="15.75" customHeight="1">
      <c r="A113" s="99"/>
      <c r="B113" s="99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99"/>
    </row>
    <row r="114" ht="15.75" customHeight="1">
      <c r="A114" s="99"/>
      <c r="B114" s="99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99"/>
    </row>
    <row r="115" ht="15.75" customHeight="1">
      <c r="A115" s="99"/>
      <c r="B115" s="99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99"/>
    </row>
    <row r="116" ht="15.75" customHeight="1">
      <c r="A116" s="99"/>
      <c r="B116" s="99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99"/>
    </row>
    <row r="117" ht="15.75" customHeight="1">
      <c r="A117" s="99"/>
      <c r="B117" s="99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99"/>
    </row>
    <row r="118" ht="15.75" customHeight="1">
      <c r="A118" s="99"/>
      <c r="B118" s="99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99"/>
    </row>
    <row r="119" ht="15.75" customHeight="1">
      <c r="A119" s="99"/>
      <c r="B119" s="99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99"/>
    </row>
    <row r="120" ht="15.75" customHeight="1">
      <c r="A120" s="99"/>
      <c r="B120" s="99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99"/>
    </row>
    <row r="121" ht="15.75" customHeight="1">
      <c r="A121" s="99"/>
      <c r="B121" s="99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99"/>
    </row>
    <row r="122" ht="15.75" customHeight="1">
      <c r="A122" s="99"/>
      <c r="B122" s="99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99"/>
    </row>
    <row r="123" ht="15.75" customHeight="1">
      <c r="A123" s="99"/>
      <c r="B123" s="99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99"/>
    </row>
    <row r="124" ht="15.75" customHeight="1">
      <c r="A124" s="99"/>
      <c r="B124" s="99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99"/>
    </row>
    <row r="125" ht="15.75" customHeight="1">
      <c r="A125" s="99"/>
      <c r="B125" s="99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99"/>
    </row>
    <row r="126" ht="15.75" customHeight="1">
      <c r="A126" s="99"/>
      <c r="B126" s="99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99"/>
    </row>
    <row r="127" ht="15.75" customHeight="1">
      <c r="A127" s="99"/>
      <c r="B127" s="99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99"/>
    </row>
    <row r="128" ht="15.75" customHeight="1">
      <c r="A128" s="99"/>
      <c r="B128" s="99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99"/>
    </row>
    <row r="129" ht="15.75" customHeight="1">
      <c r="A129" s="99"/>
      <c r="B129" s="99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99"/>
    </row>
    <row r="130" ht="15.75" customHeight="1">
      <c r="A130" s="99"/>
      <c r="B130" s="99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99"/>
    </row>
    <row r="131" ht="15.75" customHeight="1">
      <c r="A131" s="99"/>
      <c r="B131" s="99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99"/>
    </row>
    <row r="132" ht="15.75" customHeight="1">
      <c r="A132" s="99"/>
      <c r="B132" s="99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99"/>
    </row>
    <row r="133" ht="15.75" customHeight="1">
      <c r="A133" s="99"/>
      <c r="B133" s="99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99"/>
    </row>
    <row r="134" ht="15.75" customHeight="1">
      <c r="A134" s="99"/>
      <c r="B134" s="99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99"/>
    </row>
    <row r="135" ht="15.75" customHeight="1">
      <c r="A135" s="99"/>
      <c r="B135" s="99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99"/>
    </row>
    <row r="136" ht="15.75" customHeight="1">
      <c r="A136" s="99"/>
      <c r="B136" s="99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99"/>
    </row>
    <row r="137" ht="15.75" customHeight="1">
      <c r="A137" s="99"/>
      <c r="B137" s="99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99"/>
    </row>
    <row r="138" ht="15.75" customHeight="1">
      <c r="A138" s="99"/>
      <c r="B138" s="99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99"/>
    </row>
    <row r="139" ht="15.75" customHeight="1">
      <c r="A139" s="99"/>
      <c r="B139" s="99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99"/>
    </row>
    <row r="140" ht="15.75" customHeight="1">
      <c r="A140" s="99"/>
      <c r="B140" s="99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99"/>
    </row>
    <row r="141" ht="15.75" customHeight="1">
      <c r="A141" s="99"/>
      <c r="B141" s="99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99"/>
    </row>
    <row r="142" ht="15.75" customHeight="1">
      <c r="A142" s="99"/>
      <c r="B142" s="99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99"/>
    </row>
    <row r="143" ht="15.75" customHeight="1">
      <c r="A143" s="99"/>
      <c r="B143" s="99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99"/>
    </row>
    <row r="144" ht="15.75" customHeight="1">
      <c r="A144" s="99"/>
      <c r="B144" s="99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99"/>
    </row>
    <row r="145" ht="15.75" customHeight="1">
      <c r="A145" s="99"/>
      <c r="B145" s="99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99"/>
    </row>
    <row r="146" ht="15.75" customHeight="1">
      <c r="A146" s="99"/>
      <c r="B146" s="99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99"/>
    </row>
    <row r="147" ht="15.75" customHeight="1">
      <c r="A147" s="99"/>
      <c r="B147" s="99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99"/>
    </row>
    <row r="148" ht="15.75" customHeight="1">
      <c r="A148" s="99"/>
      <c r="B148" s="99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99"/>
    </row>
    <row r="149" ht="15.75" customHeight="1">
      <c r="A149" s="99"/>
      <c r="B149" s="99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99"/>
    </row>
    <row r="150" ht="15.75" customHeight="1">
      <c r="A150" s="99"/>
      <c r="B150" s="99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99"/>
    </row>
    <row r="151" ht="15.75" customHeight="1">
      <c r="A151" s="99"/>
      <c r="B151" s="99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99"/>
    </row>
    <row r="152" ht="15.75" customHeight="1">
      <c r="A152" s="99"/>
      <c r="B152" s="99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99"/>
    </row>
    <row r="153" ht="15.75" customHeight="1">
      <c r="A153" s="99"/>
      <c r="B153" s="99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99"/>
    </row>
    <row r="154" ht="15.75" customHeight="1">
      <c r="A154" s="99"/>
      <c r="B154" s="99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99"/>
    </row>
    <row r="155" ht="15.75" customHeight="1">
      <c r="A155" s="99"/>
      <c r="B155" s="99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99"/>
    </row>
    <row r="156" ht="15.75" customHeight="1">
      <c r="A156" s="99"/>
      <c r="B156" s="99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99"/>
    </row>
    <row r="157" ht="15.75" customHeight="1">
      <c r="A157" s="99"/>
      <c r="B157" s="99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99"/>
    </row>
    <row r="158" ht="15.75" customHeight="1">
      <c r="A158" s="99"/>
      <c r="B158" s="99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99"/>
    </row>
    <row r="159" ht="15.75" customHeight="1">
      <c r="A159" s="99"/>
      <c r="B159" s="99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99"/>
    </row>
    <row r="160" ht="15.75" customHeight="1">
      <c r="A160" s="99"/>
      <c r="B160" s="99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99"/>
    </row>
    <row r="161" ht="15.75" customHeight="1">
      <c r="A161" s="99"/>
      <c r="B161" s="99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99"/>
    </row>
    <row r="162" ht="15.75" customHeight="1">
      <c r="A162" s="99"/>
      <c r="B162" s="99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99"/>
    </row>
    <row r="163" ht="15.75" customHeight="1">
      <c r="A163" s="99"/>
      <c r="B163" s="99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99"/>
    </row>
    <row r="164" ht="15.75" customHeight="1">
      <c r="A164" s="99"/>
      <c r="B164" s="99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99"/>
    </row>
    <row r="165" ht="15.75" customHeight="1">
      <c r="A165" s="99"/>
      <c r="B165" s="99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99"/>
    </row>
    <row r="166" ht="15.75" customHeight="1">
      <c r="A166" s="99"/>
      <c r="B166" s="99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99"/>
    </row>
    <row r="167" ht="15.75" customHeight="1">
      <c r="A167" s="99"/>
      <c r="B167" s="99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99"/>
    </row>
    <row r="168" ht="15.75" customHeight="1">
      <c r="A168" s="99"/>
      <c r="B168" s="99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99"/>
    </row>
    <row r="169" ht="15.75" customHeight="1">
      <c r="A169" s="99"/>
      <c r="B169" s="99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99"/>
    </row>
    <row r="170" ht="15.75" customHeight="1">
      <c r="A170" s="99"/>
      <c r="B170" s="99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99"/>
    </row>
    <row r="171" ht="15.75" customHeight="1">
      <c r="A171" s="99"/>
      <c r="B171" s="99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99"/>
    </row>
    <row r="172" ht="15.75" customHeight="1">
      <c r="A172" s="99"/>
      <c r="B172" s="99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99"/>
    </row>
    <row r="173" ht="15.75" customHeight="1">
      <c r="A173" s="99"/>
      <c r="B173" s="99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99"/>
    </row>
    <row r="174" ht="15.75" customHeight="1">
      <c r="A174" s="99"/>
      <c r="B174" s="99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99"/>
    </row>
    <row r="175" ht="15.75" customHeight="1">
      <c r="A175" s="99"/>
      <c r="B175" s="99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99"/>
    </row>
    <row r="176" ht="15.75" customHeight="1">
      <c r="A176" s="99"/>
      <c r="B176" s="99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99"/>
    </row>
    <row r="177" ht="15.75" customHeight="1">
      <c r="A177" s="99"/>
      <c r="B177" s="99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99"/>
    </row>
    <row r="178" ht="15.75" customHeight="1">
      <c r="A178" s="99"/>
      <c r="B178" s="99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99"/>
    </row>
    <row r="179" ht="15.75" customHeight="1">
      <c r="A179" s="99"/>
      <c r="B179" s="99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99"/>
    </row>
    <row r="180" ht="15.75" customHeight="1">
      <c r="A180" s="99"/>
      <c r="B180" s="99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99"/>
    </row>
    <row r="181" ht="15.75" customHeight="1">
      <c r="A181" s="99"/>
      <c r="B181" s="99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99"/>
    </row>
    <row r="182" ht="15.75" customHeight="1">
      <c r="A182" s="99"/>
      <c r="B182" s="99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99"/>
    </row>
    <row r="183" ht="15.75" customHeight="1">
      <c r="A183" s="99"/>
      <c r="B183" s="99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99"/>
    </row>
    <row r="184" ht="15.75" customHeight="1">
      <c r="A184" s="99"/>
      <c r="B184" s="99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99"/>
    </row>
    <row r="185" ht="15.75" customHeight="1">
      <c r="A185" s="99"/>
      <c r="B185" s="99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99"/>
    </row>
    <row r="186" ht="15.75" customHeight="1">
      <c r="A186" s="99"/>
      <c r="B186" s="99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99"/>
    </row>
    <row r="187" ht="15.75" customHeight="1">
      <c r="A187" s="99"/>
      <c r="B187" s="99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99"/>
    </row>
    <row r="188" ht="15.75" customHeight="1">
      <c r="A188" s="99"/>
      <c r="B188" s="99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99"/>
    </row>
    <row r="189" ht="15.75" customHeight="1">
      <c r="A189" s="99"/>
      <c r="B189" s="99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99"/>
    </row>
    <row r="190" ht="15.75" customHeight="1">
      <c r="A190" s="99"/>
      <c r="B190" s="99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99"/>
    </row>
    <row r="191" ht="15.75" customHeight="1">
      <c r="A191" s="99"/>
      <c r="B191" s="99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99"/>
    </row>
    <row r="192" ht="15.75" customHeight="1">
      <c r="A192" s="99"/>
      <c r="B192" s="99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99"/>
    </row>
    <row r="193" ht="15.75" customHeight="1">
      <c r="A193" s="99"/>
      <c r="B193" s="99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99"/>
    </row>
    <row r="194" ht="15.75" customHeight="1">
      <c r="A194" s="99"/>
      <c r="B194" s="99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99"/>
    </row>
    <row r="195" ht="15.75" customHeight="1">
      <c r="A195" s="99"/>
      <c r="B195" s="99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99"/>
    </row>
    <row r="196" ht="15.75" customHeight="1">
      <c r="A196" s="99"/>
      <c r="B196" s="99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99"/>
    </row>
    <row r="197" ht="15.75" customHeight="1">
      <c r="A197" s="99"/>
      <c r="B197" s="99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99"/>
    </row>
    <row r="198" ht="15.75" customHeight="1">
      <c r="A198" s="99"/>
      <c r="B198" s="99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99"/>
    </row>
    <row r="199" ht="15.75" customHeight="1">
      <c r="A199" s="99"/>
      <c r="B199" s="99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99"/>
    </row>
    <row r="200" ht="15.75" customHeight="1">
      <c r="A200" s="99"/>
      <c r="B200" s="99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99"/>
    </row>
    <row r="201" ht="15.75" customHeight="1">
      <c r="A201" s="99"/>
      <c r="B201" s="99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99"/>
    </row>
    <row r="202" ht="15.75" customHeight="1">
      <c r="A202" s="99"/>
      <c r="B202" s="99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99"/>
    </row>
    <row r="203" ht="15.75" customHeight="1">
      <c r="A203" s="99"/>
      <c r="B203" s="99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99"/>
    </row>
    <row r="204" ht="15.75" customHeight="1">
      <c r="A204" s="99"/>
      <c r="B204" s="99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99"/>
    </row>
    <row r="205" ht="15.75" customHeight="1">
      <c r="A205" s="99"/>
      <c r="B205" s="99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99"/>
    </row>
    <row r="206" ht="15.75" customHeight="1">
      <c r="A206" s="99"/>
      <c r="B206" s="99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99"/>
    </row>
    <row r="207" ht="15.75" customHeight="1">
      <c r="A207" s="99"/>
      <c r="B207" s="99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99"/>
    </row>
    <row r="208" ht="15.75" customHeight="1">
      <c r="A208" s="99"/>
      <c r="B208" s="99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99"/>
    </row>
    <row r="209" ht="15.75" customHeight="1">
      <c r="A209" s="99"/>
      <c r="B209" s="99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99"/>
    </row>
    <row r="210" ht="15.75" customHeight="1">
      <c r="A210" s="99"/>
      <c r="B210" s="99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99"/>
    </row>
    <row r="211" ht="15.75" customHeight="1">
      <c r="A211" s="99"/>
      <c r="B211" s="99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99"/>
    </row>
    <row r="212" ht="15.75" customHeight="1">
      <c r="A212" s="99"/>
      <c r="B212" s="99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99"/>
    </row>
    <row r="213" ht="15.75" customHeight="1">
      <c r="A213" s="99"/>
      <c r="B213" s="99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99"/>
    </row>
    <row r="214" ht="15.75" customHeight="1">
      <c r="A214" s="99"/>
      <c r="B214" s="99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99"/>
    </row>
    <row r="215" ht="15.75" customHeight="1">
      <c r="A215" s="99"/>
      <c r="B215" s="99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99"/>
    </row>
    <row r="216" ht="15.75" customHeight="1">
      <c r="A216" s="99"/>
      <c r="B216" s="99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99"/>
    </row>
    <row r="217" ht="15.75" customHeight="1">
      <c r="A217" s="99"/>
      <c r="B217" s="99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99"/>
    </row>
    <row r="218" ht="15.75" customHeight="1">
      <c r="A218" s="99"/>
      <c r="B218" s="99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99"/>
    </row>
    <row r="219" ht="15.75" customHeight="1">
      <c r="A219" s="99"/>
      <c r="B219" s="99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99"/>
    </row>
    <row r="220" ht="15.75" customHeight="1">
      <c r="A220" s="99"/>
      <c r="B220" s="99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99"/>
    </row>
    <row r="221" ht="15.75" customHeight="1">
      <c r="A221" s="99"/>
      <c r="B221" s="99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99"/>
    </row>
    <row r="222" ht="15.75" customHeight="1">
      <c r="A222" s="99"/>
      <c r="B222" s="99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99"/>
    </row>
    <row r="223" ht="15.75" customHeight="1">
      <c r="A223" s="99"/>
      <c r="B223" s="99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99"/>
    </row>
    <row r="224" ht="15.75" customHeight="1">
      <c r="A224" s="99"/>
      <c r="B224" s="99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99"/>
    </row>
    <row r="225" ht="15.75" customHeight="1">
      <c r="A225" s="99"/>
      <c r="B225" s="99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99"/>
    </row>
    <row r="226" ht="15.75" customHeight="1">
      <c r="A226" s="99"/>
      <c r="B226" s="99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99"/>
    </row>
    <row r="227" ht="15.75" customHeight="1">
      <c r="A227" s="99"/>
      <c r="B227" s="99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99"/>
    </row>
    <row r="228" ht="15.75" customHeight="1">
      <c r="A228" s="99"/>
      <c r="B228" s="99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99"/>
    </row>
    <row r="229" ht="15.75" customHeight="1">
      <c r="A229" s="99"/>
      <c r="B229" s="99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99"/>
    </row>
    <row r="230" ht="15.75" customHeight="1">
      <c r="A230" s="99"/>
      <c r="B230" s="99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99"/>
    </row>
    <row r="231" ht="15.75" customHeight="1">
      <c r="A231" s="99"/>
      <c r="B231" s="99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99"/>
    </row>
    <row r="232" ht="15.75" customHeight="1">
      <c r="A232" s="99"/>
      <c r="B232" s="99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99"/>
    </row>
    <row r="233" ht="15.75" customHeight="1">
      <c r="A233" s="99"/>
      <c r="B233" s="99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99"/>
    </row>
    <row r="234" ht="15.75" customHeight="1">
      <c r="A234" s="99"/>
      <c r="B234" s="99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99"/>
    </row>
    <row r="235" ht="15.75" customHeight="1">
      <c r="A235" s="99"/>
      <c r="B235" s="99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99"/>
    </row>
    <row r="236" ht="15.75" customHeight="1">
      <c r="A236" s="99"/>
      <c r="B236" s="99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99"/>
    </row>
    <row r="237" ht="15.75" customHeight="1">
      <c r="A237" s="99"/>
      <c r="B237" s="99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99"/>
    </row>
    <row r="238" ht="15.75" customHeight="1">
      <c r="A238" s="99"/>
      <c r="B238" s="99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99"/>
    </row>
    <row r="239" ht="15.75" customHeight="1">
      <c r="A239" s="99"/>
      <c r="B239" s="99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99"/>
    </row>
    <row r="240" ht="15.75" customHeight="1">
      <c r="A240" s="99"/>
      <c r="B240" s="99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99"/>
    </row>
    <row r="241" ht="15.75" customHeight="1">
      <c r="A241" s="99"/>
      <c r="B241" s="99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99"/>
    </row>
    <row r="242" ht="15.75" customHeight="1">
      <c r="A242" s="99"/>
      <c r="B242" s="99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99"/>
    </row>
    <row r="243" ht="15.75" customHeight="1">
      <c r="A243" s="99"/>
      <c r="B243" s="99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99"/>
    </row>
    <row r="244" ht="15.75" customHeight="1">
      <c r="A244" s="99"/>
      <c r="B244" s="99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99"/>
    </row>
    <row r="245" ht="15.75" customHeight="1">
      <c r="A245" s="99"/>
      <c r="B245" s="99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99"/>
    </row>
    <row r="246" ht="15.75" customHeight="1">
      <c r="A246" s="99"/>
      <c r="B246" s="99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99"/>
    </row>
    <row r="247" ht="15.75" customHeight="1">
      <c r="A247" s="99"/>
      <c r="B247" s="99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99"/>
    </row>
    <row r="248" ht="15.75" customHeight="1">
      <c r="A248" s="99"/>
      <c r="B248" s="99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99"/>
    </row>
    <row r="249" ht="15.75" customHeight="1">
      <c r="A249" s="99"/>
      <c r="B249" s="99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99"/>
    </row>
    <row r="250" ht="15.75" customHeight="1">
      <c r="A250" s="99"/>
      <c r="B250" s="99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99"/>
    </row>
    <row r="251" ht="15.75" customHeight="1">
      <c r="A251" s="99"/>
      <c r="B251" s="99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99"/>
    </row>
    <row r="252" ht="15.75" customHeight="1">
      <c r="A252" s="99"/>
      <c r="B252" s="99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99"/>
    </row>
    <row r="253" ht="15.75" customHeight="1">
      <c r="A253" s="99"/>
      <c r="B253" s="99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99"/>
    </row>
    <row r="254" ht="15.75" customHeight="1">
      <c r="A254" s="99"/>
      <c r="B254" s="99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99"/>
    </row>
    <row r="255" ht="15.75" customHeight="1">
      <c r="A255" s="99"/>
      <c r="B255" s="99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99"/>
    </row>
    <row r="256" ht="15.75" customHeight="1">
      <c r="A256" s="99"/>
      <c r="B256" s="99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99"/>
    </row>
    <row r="257" ht="15.75" customHeight="1">
      <c r="A257" s="99"/>
      <c r="B257" s="99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99"/>
    </row>
    <row r="258" ht="15.75" customHeight="1">
      <c r="A258" s="99"/>
      <c r="B258" s="99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99"/>
    </row>
    <row r="259" ht="15.75" customHeight="1">
      <c r="A259" s="99"/>
      <c r="B259" s="99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99"/>
    </row>
    <row r="260" ht="15.75" customHeight="1">
      <c r="A260" s="99"/>
      <c r="B260" s="99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99"/>
    </row>
    <row r="261" ht="15.75" customHeight="1">
      <c r="A261" s="99"/>
      <c r="B261" s="99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99"/>
    </row>
    <row r="262" ht="15.75" customHeight="1">
      <c r="A262" s="99"/>
      <c r="B262" s="99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99"/>
    </row>
    <row r="263" ht="15.75" customHeight="1">
      <c r="A263" s="99"/>
      <c r="B263" s="99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99"/>
    </row>
    <row r="264" ht="15.75" customHeight="1">
      <c r="A264" s="99"/>
      <c r="B264" s="99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99"/>
    </row>
    <row r="265" ht="15.75" customHeight="1">
      <c r="A265" s="99"/>
      <c r="B265" s="99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99"/>
    </row>
    <row r="266" ht="15.75" customHeight="1">
      <c r="A266" s="99"/>
      <c r="B266" s="99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99"/>
    </row>
    <row r="267" ht="15.75" customHeight="1">
      <c r="A267" s="99"/>
      <c r="B267" s="99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99"/>
    </row>
    <row r="268" ht="15.75" customHeight="1">
      <c r="A268" s="99"/>
      <c r="B268" s="99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99"/>
    </row>
    <row r="269" ht="15.75" customHeight="1">
      <c r="A269" s="99"/>
      <c r="B269" s="99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99"/>
    </row>
    <row r="270" ht="15.75" customHeight="1">
      <c r="A270" s="99"/>
      <c r="B270" s="99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99"/>
    </row>
    <row r="271" ht="15.75" customHeight="1">
      <c r="A271" s="99"/>
      <c r="B271" s="99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99"/>
    </row>
    <row r="272" ht="15.75" customHeight="1">
      <c r="A272" s="99"/>
      <c r="B272" s="99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99"/>
    </row>
    <row r="273" ht="15.75" customHeight="1">
      <c r="A273" s="99"/>
      <c r="B273" s="99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99"/>
    </row>
    <row r="274" ht="15.75" customHeight="1">
      <c r="A274" s="99"/>
      <c r="B274" s="99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99"/>
    </row>
    <row r="275" ht="15.75" customHeight="1">
      <c r="A275" s="99"/>
      <c r="B275" s="99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99"/>
    </row>
    <row r="276" ht="15.75" customHeight="1">
      <c r="A276" s="99"/>
      <c r="B276" s="99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99"/>
    </row>
    <row r="277" ht="15.75" customHeight="1">
      <c r="A277" s="99"/>
      <c r="B277" s="99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99"/>
    </row>
    <row r="278" ht="15.75" customHeight="1">
      <c r="A278" s="99"/>
      <c r="B278" s="99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99"/>
    </row>
    <row r="279" ht="15.75" customHeight="1">
      <c r="A279" s="99"/>
      <c r="B279" s="99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99"/>
    </row>
    <row r="280" ht="15.75" customHeight="1">
      <c r="A280" s="99"/>
      <c r="B280" s="99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99"/>
    </row>
    <row r="281" ht="15.75" customHeight="1">
      <c r="A281" s="99"/>
      <c r="B281" s="99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99"/>
    </row>
    <row r="282" ht="15.75" customHeight="1">
      <c r="A282" s="99"/>
      <c r="B282" s="99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99"/>
    </row>
    <row r="283" ht="15.75" customHeight="1">
      <c r="A283" s="99"/>
      <c r="B283" s="99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99"/>
    </row>
    <row r="284" ht="15.75" customHeight="1">
      <c r="A284" s="99"/>
      <c r="B284" s="99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99"/>
    </row>
    <row r="285" ht="15.75" customHeight="1">
      <c r="A285" s="99"/>
      <c r="B285" s="99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99"/>
    </row>
    <row r="286" ht="15.75" customHeight="1">
      <c r="A286" s="99"/>
      <c r="B286" s="99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99"/>
    </row>
    <row r="287" ht="15.75" customHeight="1">
      <c r="A287" s="99"/>
      <c r="B287" s="99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99"/>
    </row>
    <row r="288" ht="15.75" customHeight="1">
      <c r="A288" s="99"/>
      <c r="B288" s="99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99"/>
    </row>
    <row r="289" ht="15.75" customHeight="1">
      <c r="A289" s="99"/>
      <c r="B289" s="99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99"/>
    </row>
    <row r="290" ht="15.75" customHeight="1">
      <c r="A290" s="99"/>
      <c r="B290" s="99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99"/>
    </row>
    <row r="291" ht="15.75" customHeight="1">
      <c r="A291" s="99"/>
      <c r="B291" s="99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99"/>
    </row>
    <row r="292" ht="15.75" customHeight="1">
      <c r="A292" s="99"/>
      <c r="B292" s="99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99"/>
    </row>
    <row r="293" ht="15.75" customHeight="1">
      <c r="A293" s="99"/>
      <c r="B293" s="99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99"/>
    </row>
    <row r="294" ht="15.75" customHeight="1">
      <c r="A294" s="99"/>
      <c r="B294" s="99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99"/>
    </row>
    <row r="295" ht="15.75" customHeight="1">
      <c r="A295" s="99"/>
      <c r="B295" s="99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99"/>
    </row>
    <row r="296" ht="15.75" customHeight="1">
      <c r="A296" s="99"/>
      <c r="B296" s="99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99"/>
    </row>
    <row r="297" ht="15.75" customHeight="1">
      <c r="A297" s="99"/>
      <c r="B297" s="99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99"/>
    </row>
    <row r="298" ht="15.75" customHeight="1">
      <c r="A298" s="99"/>
      <c r="B298" s="99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99"/>
    </row>
    <row r="299" ht="15.75" customHeight="1">
      <c r="A299" s="99"/>
      <c r="B299" s="99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99"/>
    </row>
    <row r="300" ht="15.75" customHeight="1">
      <c r="A300" s="99"/>
      <c r="B300" s="99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99"/>
    </row>
    <row r="301" ht="15.75" customHeight="1">
      <c r="A301" s="99"/>
      <c r="B301" s="99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99"/>
    </row>
    <row r="302" ht="15.75" customHeight="1">
      <c r="A302" s="99"/>
      <c r="B302" s="99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99"/>
    </row>
    <row r="303" ht="15.75" customHeight="1">
      <c r="A303" s="99"/>
      <c r="B303" s="99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99"/>
    </row>
    <row r="304" ht="15.75" customHeight="1">
      <c r="A304" s="99"/>
      <c r="B304" s="99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99"/>
    </row>
    <row r="305" ht="15.75" customHeight="1">
      <c r="A305" s="99"/>
      <c r="B305" s="99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99"/>
    </row>
    <row r="306" ht="15.75" customHeight="1">
      <c r="A306" s="99"/>
      <c r="B306" s="99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99"/>
    </row>
    <row r="307" ht="15.75" customHeight="1">
      <c r="A307" s="99"/>
      <c r="B307" s="99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99"/>
    </row>
    <row r="308" ht="15.75" customHeight="1">
      <c r="A308" s="99"/>
      <c r="B308" s="99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99"/>
    </row>
    <row r="309" ht="15.75" customHeight="1">
      <c r="A309" s="99"/>
      <c r="B309" s="99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99"/>
    </row>
    <row r="310" ht="15.75" customHeight="1">
      <c r="A310" s="99"/>
      <c r="B310" s="99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99"/>
    </row>
    <row r="311" ht="15.75" customHeight="1">
      <c r="A311" s="99"/>
      <c r="B311" s="99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99"/>
    </row>
    <row r="312" ht="15.75" customHeight="1">
      <c r="A312" s="99"/>
      <c r="B312" s="99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99"/>
    </row>
    <row r="313" ht="15.75" customHeight="1">
      <c r="A313" s="99"/>
      <c r="B313" s="99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99"/>
    </row>
    <row r="314" ht="15.75" customHeight="1">
      <c r="A314" s="99"/>
      <c r="B314" s="99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99"/>
    </row>
    <row r="315" ht="15.75" customHeight="1">
      <c r="A315" s="99"/>
      <c r="B315" s="99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99"/>
    </row>
    <row r="316" ht="15.75" customHeight="1">
      <c r="A316" s="99"/>
      <c r="B316" s="99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99"/>
    </row>
    <row r="317" ht="15.75" customHeight="1">
      <c r="A317" s="99"/>
      <c r="B317" s="99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99"/>
    </row>
    <row r="318" ht="15.75" customHeight="1">
      <c r="A318" s="99"/>
      <c r="B318" s="99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99"/>
    </row>
    <row r="319" ht="15.75" customHeight="1">
      <c r="A319" s="99"/>
      <c r="B319" s="99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99"/>
    </row>
    <row r="320" ht="15.75" customHeight="1">
      <c r="A320" s="99"/>
      <c r="B320" s="99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99"/>
    </row>
    <row r="321" ht="15.75" customHeight="1">
      <c r="A321" s="99"/>
      <c r="B321" s="99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99"/>
    </row>
    <row r="322" ht="15.75" customHeight="1">
      <c r="A322" s="99"/>
      <c r="B322" s="99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99"/>
    </row>
    <row r="323" ht="15.75" customHeight="1">
      <c r="A323" s="99"/>
      <c r="B323" s="99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99"/>
    </row>
    <row r="324" ht="15.75" customHeight="1">
      <c r="A324" s="99"/>
      <c r="B324" s="99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99"/>
    </row>
    <row r="325" ht="15.75" customHeight="1">
      <c r="A325" s="99"/>
      <c r="B325" s="99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99"/>
    </row>
    <row r="326" ht="15.75" customHeight="1">
      <c r="A326" s="99"/>
      <c r="B326" s="99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99"/>
    </row>
    <row r="327" ht="15.75" customHeight="1">
      <c r="A327" s="99"/>
      <c r="B327" s="99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99"/>
    </row>
    <row r="328" ht="15.75" customHeight="1">
      <c r="A328" s="99"/>
      <c r="B328" s="99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99"/>
    </row>
    <row r="329" ht="15.75" customHeight="1">
      <c r="A329" s="99"/>
      <c r="B329" s="99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99"/>
    </row>
    <row r="330" ht="15.75" customHeight="1">
      <c r="A330" s="99"/>
      <c r="B330" s="99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99"/>
    </row>
    <row r="331" ht="15.75" customHeight="1">
      <c r="A331" s="99"/>
      <c r="B331" s="99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99"/>
    </row>
    <row r="332" ht="15.75" customHeight="1">
      <c r="A332" s="99"/>
      <c r="B332" s="99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99"/>
    </row>
    <row r="333" ht="15.75" customHeight="1">
      <c r="A333" s="99"/>
      <c r="B333" s="99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99"/>
    </row>
    <row r="334" ht="15.75" customHeight="1">
      <c r="A334" s="99"/>
      <c r="B334" s="99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99"/>
    </row>
    <row r="335" ht="15.75" customHeight="1">
      <c r="A335" s="99"/>
      <c r="B335" s="99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99"/>
    </row>
    <row r="336" ht="15.75" customHeight="1">
      <c r="A336" s="99"/>
      <c r="B336" s="99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99"/>
    </row>
    <row r="337" ht="15.75" customHeight="1">
      <c r="A337" s="99"/>
      <c r="B337" s="99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99"/>
    </row>
    <row r="338" ht="15.75" customHeight="1">
      <c r="A338" s="99"/>
      <c r="B338" s="99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99"/>
    </row>
    <row r="339" ht="15.75" customHeight="1">
      <c r="A339" s="99"/>
      <c r="B339" s="99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99"/>
    </row>
    <row r="340" ht="15.75" customHeight="1">
      <c r="A340" s="99"/>
      <c r="B340" s="99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99"/>
    </row>
    <row r="341" ht="15.75" customHeight="1">
      <c r="A341" s="99"/>
      <c r="B341" s="99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99"/>
    </row>
    <row r="342" ht="15.75" customHeight="1">
      <c r="A342" s="99"/>
      <c r="B342" s="99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99"/>
    </row>
    <row r="343" ht="15.75" customHeight="1">
      <c r="A343" s="99"/>
      <c r="B343" s="99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99"/>
    </row>
    <row r="344" ht="15.75" customHeight="1">
      <c r="A344" s="99"/>
      <c r="B344" s="99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99"/>
    </row>
    <row r="345" ht="15.75" customHeight="1">
      <c r="A345" s="99"/>
      <c r="B345" s="99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99"/>
    </row>
    <row r="346" ht="15.75" customHeight="1">
      <c r="A346" s="99"/>
      <c r="B346" s="99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99"/>
    </row>
    <row r="347" ht="15.75" customHeight="1">
      <c r="A347" s="99"/>
      <c r="B347" s="99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99"/>
    </row>
    <row r="348" ht="15.75" customHeight="1">
      <c r="A348" s="99"/>
      <c r="B348" s="99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99"/>
    </row>
    <row r="349" ht="15.75" customHeight="1">
      <c r="A349" s="99"/>
      <c r="B349" s="99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99"/>
    </row>
    <row r="350" ht="15.75" customHeight="1">
      <c r="A350" s="99"/>
      <c r="B350" s="99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99"/>
    </row>
    <row r="351" ht="15.75" customHeight="1">
      <c r="A351" s="99"/>
      <c r="B351" s="99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99"/>
    </row>
    <row r="352" ht="15.75" customHeight="1">
      <c r="A352" s="99"/>
      <c r="B352" s="99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99"/>
    </row>
    <row r="353" ht="15.75" customHeight="1">
      <c r="A353" s="99"/>
      <c r="B353" s="99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99"/>
    </row>
    <row r="354" ht="15.75" customHeight="1">
      <c r="A354" s="99"/>
      <c r="B354" s="99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99"/>
    </row>
    <row r="355" ht="15.75" customHeight="1">
      <c r="A355" s="99"/>
      <c r="B355" s="99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99"/>
    </row>
    <row r="356" ht="15.75" customHeight="1">
      <c r="A356" s="99"/>
      <c r="B356" s="99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99"/>
    </row>
    <row r="357" ht="15.75" customHeight="1">
      <c r="A357" s="99"/>
      <c r="B357" s="99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99"/>
    </row>
    <row r="358" ht="15.75" customHeight="1">
      <c r="A358" s="99"/>
      <c r="B358" s="99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99"/>
    </row>
    <row r="359" ht="15.75" customHeight="1">
      <c r="A359" s="99"/>
      <c r="B359" s="99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99"/>
    </row>
    <row r="360" ht="15.75" customHeight="1">
      <c r="A360" s="99"/>
      <c r="B360" s="99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99"/>
    </row>
    <row r="361" ht="15.75" customHeight="1">
      <c r="A361" s="99"/>
      <c r="B361" s="99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99"/>
    </row>
    <row r="362" ht="15.75" customHeight="1">
      <c r="A362" s="99"/>
      <c r="B362" s="99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99"/>
    </row>
    <row r="363" ht="15.75" customHeight="1">
      <c r="A363" s="99"/>
      <c r="B363" s="99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99"/>
    </row>
    <row r="364" ht="15.75" customHeight="1">
      <c r="A364" s="99"/>
      <c r="B364" s="99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99"/>
    </row>
    <row r="365" ht="15.75" customHeight="1">
      <c r="A365" s="99"/>
      <c r="B365" s="99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99"/>
    </row>
    <row r="366" ht="15.75" customHeight="1">
      <c r="A366" s="99"/>
      <c r="B366" s="99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99"/>
    </row>
    <row r="367" ht="15.75" customHeight="1">
      <c r="A367" s="99"/>
      <c r="B367" s="99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99"/>
    </row>
    <row r="368" ht="15.75" customHeight="1">
      <c r="A368" s="99"/>
      <c r="B368" s="99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99"/>
    </row>
    <row r="369" ht="15.75" customHeight="1">
      <c r="A369" s="99"/>
      <c r="B369" s="99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99"/>
    </row>
    <row r="370" ht="15.75" customHeight="1">
      <c r="A370" s="99"/>
      <c r="B370" s="99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99"/>
    </row>
    <row r="371" ht="15.75" customHeight="1">
      <c r="A371" s="99"/>
      <c r="B371" s="99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99"/>
    </row>
    <row r="372" ht="15.75" customHeight="1">
      <c r="A372" s="99"/>
      <c r="B372" s="99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99"/>
    </row>
    <row r="373" ht="15.75" customHeight="1">
      <c r="A373" s="99"/>
      <c r="B373" s="99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99"/>
    </row>
    <row r="374" ht="15.75" customHeight="1">
      <c r="A374" s="99"/>
      <c r="B374" s="99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99"/>
    </row>
    <row r="375" ht="15.75" customHeight="1">
      <c r="A375" s="99"/>
      <c r="B375" s="99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99"/>
    </row>
    <row r="376" ht="15.75" customHeight="1">
      <c r="A376" s="99"/>
      <c r="B376" s="99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99"/>
    </row>
    <row r="377" ht="15.75" customHeight="1">
      <c r="A377" s="99"/>
      <c r="B377" s="99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99"/>
    </row>
    <row r="378" ht="15.75" customHeight="1">
      <c r="A378" s="99"/>
      <c r="B378" s="99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99"/>
    </row>
    <row r="379" ht="15.75" customHeight="1">
      <c r="A379" s="99"/>
      <c r="B379" s="99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99"/>
    </row>
    <row r="380" ht="15.75" customHeight="1">
      <c r="A380" s="99"/>
      <c r="B380" s="99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99"/>
    </row>
    <row r="381" ht="15.75" customHeight="1">
      <c r="A381" s="99"/>
      <c r="B381" s="99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99"/>
    </row>
    <row r="382" ht="15.75" customHeight="1">
      <c r="A382" s="99"/>
      <c r="B382" s="99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99"/>
    </row>
    <row r="383" ht="15.75" customHeight="1">
      <c r="A383" s="99"/>
      <c r="B383" s="99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99"/>
    </row>
    <row r="384" ht="15.75" customHeight="1">
      <c r="A384" s="99"/>
      <c r="B384" s="99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99"/>
    </row>
    <row r="385" ht="15.75" customHeight="1">
      <c r="A385" s="99"/>
      <c r="B385" s="99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99"/>
    </row>
    <row r="386" ht="15.75" customHeight="1">
      <c r="A386" s="99"/>
      <c r="B386" s="99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99"/>
    </row>
    <row r="387" ht="15.75" customHeight="1">
      <c r="A387" s="99"/>
      <c r="B387" s="99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99"/>
    </row>
    <row r="388" ht="15.75" customHeight="1">
      <c r="A388" s="99"/>
      <c r="B388" s="99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99"/>
    </row>
    <row r="389" ht="15.75" customHeight="1">
      <c r="A389" s="99"/>
      <c r="B389" s="99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99"/>
    </row>
    <row r="390" ht="15.75" customHeight="1">
      <c r="A390" s="99"/>
      <c r="B390" s="99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99"/>
    </row>
    <row r="391" ht="15.75" customHeight="1">
      <c r="A391" s="99"/>
      <c r="B391" s="99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99"/>
    </row>
    <row r="392" ht="15.75" customHeight="1">
      <c r="A392" s="99"/>
      <c r="B392" s="99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99"/>
    </row>
    <row r="393" ht="15.75" customHeight="1">
      <c r="A393" s="99"/>
      <c r="B393" s="99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99"/>
    </row>
    <row r="394" ht="15.75" customHeight="1">
      <c r="A394" s="99"/>
      <c r="B394" s="99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99"/>
    </row>
    <row r="395" ht="15.75" customHeight="1">
      <c r="A395" s="99"/>
      <c r="B395" s="99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99"/>
    </row>
    <row r="396" ht="15.75" customHeight="1">
      <c r="A396" s="99"/>
      <c r="B396" s="99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99"/>
    </row>
    <row r="397" ht="15.75" customHeight="1">
      <c r="A397" s="99"/>
      <c r="B397" s="99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99"/>
    </row>
    <row r="398" ht="15.75" customHeight="1">
      <c r="A398" s="99"/>
      <c r="B398" s="99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99"/>
    </row>
    <row r="399" ht="15.75" customHeight="1">
      <c r="A399" s="99"/>
      <c r="B399" s="99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99"/>
    </row>
    <row r="400" ht="15.75" customHeight="1">
      <c r="A400" s="99"/>
      <c r="B400" s="99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99"/>
    </row>
    <row r="401" ht="15.75" customHeight="1">
      <c r="A401" s="99"/>
      <c r="B401" s="99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99"/>
    </row>
    <row r="402" ht="15.75" customHeight="1">
      <c r="A402" s="99"/>
      <c r="B402" s="99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99"/>
    </row>
    <row r="403" ht="15.75" customHeight="1">
      <c r="A403" s="99"/>
      <c r="B403" s="99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99"/>
    </row>
    <row r="404" ht="15.75" customHeight="1">
      <c r="A404" s="99"/>
      <c r="B404" s="99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99"/>
    </row>
    <row r="405" ht="15.75" customHeight="1">
      <c r="A405" s="99"/>
      <c r="B405" s="99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99"/>
    </row>
    <row r="406" ht="15.75" customHeight="1">
      <c r="A406" s="99"/>
      <c r="B406" s="99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99"/>
    </row>
    <row r="407" ht="15.75" customHeight="1">
      <c r="A407" s="99"/>
      <c r="B407" s="99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99"/>
    </row>
    <row r="408" ht="15.75" customHeight="1">
      <c r="A408" s="99"/>
      <c r="B408" s="99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99"/>
    </row>
    <row r="409" ht="15.75" customHeight="1">
      <c r="A409" s="99"/>
      <c r="B409" s="99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99"/>
    </row>
    <row r="410" ht="15.75" customHeight="1">
      <c r="A410" s="99"/>
      <c r="B410" s="99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99"/>
    </row>
    <row r="411" ht="15.75" customHeight="1">
      <c r="A411" s="99"/>
      <c r="B411" s="99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99"/>
    </row>
    <row r="412" ht="15.75" customHeight="1">
      <c r="A412" s="99"/>
      <c r="B412" s="99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99"/>
    </row>
    <row r="413" ht="15.75" customHeight="1">
      <c r="A413" s="99"/>
      <c r="B413" s="99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99"/>
    </row>
    <row r="414" ht="15.75" customHeight="1">
      <c r="A414" s="99"/>
      <c r="B414" s="99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99"/>
    </row>
    <row r="415" ht="15.75" customHeight="1">
      <c r="A415" s="99"/>
      <c r="B415" s="99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99"/>
    </row>
    <row r="416" ht="15.75" customHeight="1">
      <c r="A416" s="99"/>
      <c r="B416" s="99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99"/>
    </row>
    <row r="417" ht="15.75" customHeight="1">
      <c r="A417" s="99"/>
      <c r="B417" s="99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99"/>
    </row>
    <row r="418" ht="15.75" customHeight="1">
      <c r="A418" s="99"/>
      <c r="B418" s="99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99"/>
    </row>
    <row r="419" ht="15.75" customHeight="1">
      <c r="A419" s="99"/>
      <c r="B419" s="99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99"/>
    </row>
    <row r="420" ht="15.75" customHeight="1">
      <c r="A420" s="99"/>
      <c r="B420" s="99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99"/>
    </row>
    <row r="421" ht="15.75" customHeight="1">
      <c r="A421" s="99"/>
      <c r="B421" s="99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99"/>
    </row>
    <row r="422" ht="15.75" customHeight="1">
      <c r="A422" s="99"/>
      <c r="B422" s="99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99"/>
    </row>
    <row r="423" ht="15.75" customHeight="1">
      <c r="A423" s="99"/>
      <c r="B423" s="99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99"/>
    </row>
    <row r="424" ht="15.75" customHeight="1">
      <c r="A424" s="99"/>
      <c r="B424" s="99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99"/>
    </row>
    <row r="425" ht="15.75" customHeight="1">
      <c r="A425" s="99"/>
      <c r="B425" s="99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99"/>
    </row>
    <row r="426" ht="15.75" customHeight="1">
      <c r="A426" s="99"/>
      <c r="B426" s="99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99"/>
    </row>
    <row r="427" ht="15.75" customHeight="1">
      <c r="A427" s="99"/>
      <c r="B427" s="99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99"/>
    </row>
    <row r="428" ht="15.75" customHeight="1">
      <c r="A428" s="99"/>
      <c r="B428" s="99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99"/>
    </row>
    <row r="429" ht="15.75" customHeight="1">
      <c r="A429" s="99"/>
      <c r="B429" s="99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99"/>
    </row>
    <row r="430" ht="15.75" customHeight="1">
      <c r="A430" s="99"/>
      <c r="B430" s="99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99"/>
    </row>
    <row r="431" ht="15.75" customHeight="1">
      <c r="A431" s="99"/>
      <c r="B431" s="99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99"/>
    </row>
    <row r="432" ht="15.75" customHeight="1">
      <c r="A432" s="99"/>
      <c r="B432" s="99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99"/>
    </row>
    <row r="433" ht="15.75" customHeight="1">
      <c r="A433" s="99"/>
      <c r="B433" s="99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99"/>
    </row>
    <row r="434" ht="15.75" customHeight="1">
      <c r="A434" s="99"/>
      <c r="B434" s="99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99"/>
    </row>
    <row r="435" ht="15.75" customHeight="1">
      <c r="A435" s="99"/>
      <c r="B435" s="99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99"/>
    </row>
    <row r="436" ht="15.75" customHeight="1">
      <c r="A436" s="99"/>
      <c r="B436" s="99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99"/>
    </row>
    <row r="437" ht="15.75" customHeight="1">
      <c r="A437" s="99"/>
      <c r="B437" s="99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99"/>
    </row>
    <row r="438" ht="15.75" customHeight="1">
      <c r="A438" s="99"/>
      <c r="B438" s="99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99"/>
    </row>
    <row r="439" ht="15.75" customHeight="1">
      <c r="A439" s="99"/>
      <c r="B439" s="99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99"/>
    </row>
    <row r="440" ht="15.75" customHeight="1">
      <c r="A440" s="99"/>
      <c r="B440" s="99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99"/>
    </row>
    <row r="441" ht="15.75" customHeight="1">
      <c r="A441" s="99"/>
      <c r="B441" s="99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99"/>
    </row>
    <row r="442" ht="15.75" customHeight="1">
      <c r="A442" s="99"/>
      <c r="B442" s="99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99"/>
    </row>
    <row r="443" ht="15.75" customHeight="1">
      <c r="A443" s="99"/>
      <c r="B443" s="99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99"/>
    </row>
    <row r="444" ht="15.75" customHeight="1">
      <c r="A444" s="99"/>
      <c r="B444" s="99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99"/>
    </row>
    <row r="445" ht="15.75" customHeight="1">
      <c r="A445" s="99"/>
      <c r="B445" s="99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99"/>
    </row>
    <row r="446" ht="15.75" customHeight="1">
      <c r="A446" s="99"/>
      <c r="B446" s="99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99"/>
    </row>
    <row r="447" ht="15.75" customHeight="1">
      <c r="A447" s="99"/>
      <c r="B447" s="99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99"/>
    </row>
    <row r="448" ht="15.75" customHeight="1">
      <c r="A448" s="99"/>
      <c r="B448" s="99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99"/>
    </row>
    <row r="449" ht="15.75" customHeight="1">
      <c r="A449" s="99"/>
      <c r="B449" s="99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99"/>
    </row>
    <row r="450" ht="15.75" customHeight="1">
      <c r="A450" s="99"/>
      <c r="B450" s="99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99"/>
    </row>
    <row r="451" ht="15.75" customHeight="1">
      <c r="A451" s="99"/>
      <c r="B451" s="99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99"/>
    </row>
    <row r="452" ht="15.75" customHeight="1">
      <c r="A452" s="99"/>
      <c r="B452" s="99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99"/>
    </row>
    <row r="453" ht="15.75" customHeight="1">
      <c r="A453" s="99"/>
      <c r="B453" s="99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99"/>
    </row>
    <row r="454" ht="15.75" customHeight="1">
      <c r="A454" s="99"/>
      <c r="B454" s="99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99"/>
    </row>
    <row r="455" ht="15.75" customHeight="1">
      <c r="A455" s="99"/>
      <c r="B455" s="99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99"/>
    </row>
    <row r="456" ht="15.75" customHeight="1">
      <c r="A456" s="99"/>
      <c r="B456" s="99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99"/>
    </row>
    <row r="457" ht="15.75" customHeight="1">
      <c r="A457" s="99"/>
      <c r="B457" s="99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99"/>
    </row>
    <row r="458" ht="15.75" customHeight="1">
      <c r="A458" s="99"/>
      <c r="B458" s="99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99"/>
    </row>
    <row r="459" ht="15.75" customHeight="1">
      <c r="A459" s="99"/>
      <c r="B459" s="99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99"/>
    </row>
    <row r="460" ht="15.75" customHeight="1">
      <c r="A460" s="99"/>
      <c r="B460" s="99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99"/>
    </row>
    <row r="461" ht="15.75" customHeight="1">
      <c r="A461" s="99"/>
      <c r="B461" s="99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99"/>
    </row>
    <row r="462" ht="15.75" customHeight="1">
      <c r="A462" s="99"/>
      <c r="B462" s="99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99"/>
    </row>
    <row r="463" ht="15.75" customHeight="1">
      <c r="A463" s="99"/>
      <c r="B463" s="99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99"/>
    </row>
    <row r="464" ht="15.75" customHeight="1">
      <c r="A464" s="99"/>
      <c r="B464" s="99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99"/>
    </row>
    <row r="465" ht="15.75" customHeight="1">
      <c r="A465" s="99"/>
      <c r="B465" s="99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99"/>
    </row>
    <row r="466" ht="15.75" customHeight="1">
      <c r="A466" s="99"/>
      <c r="B466" s="99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99"/>
    </row>
    <row r="467" ht="15.75" customHeight="1">
      <c r="A467" s="99"/>
      <c r="B467" s="99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99"/>
    </row>
    <row r="468" ht="15.75" customHeight="1">
      <c r="A468" s="99"/>
      <c r="B468" s="99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99"/>
    </row>
    <row r="469" ht="15.75" customHeight="1">
      <c r="A469" s="99"/>
      <c r="B469" s="99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99"/>
    </row>
    <row r="470" ht="15.75" customHeight="1">
      <c r="A470" s="99"/>
      <c r="B470" s="99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99"/>
    </row>
    <row r="471" ht="15.75" customHeight="1">
      <c r="A471" s="99"/>
      <c r="B471" s="99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99"/>
    </row>
    <row r="472" ht="15.75" customHeight="1">
      <c r="A472" s="99"/>
      <c r="B472" s="99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99"/>
    </row>
    <row r="473" ht="15.75" customHeight="1">
      <c r="A473" s="99"/>
      <c r="B473" s="99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99"/>
    </row>
    <row r="474" ht="15.75" customHeight="1">
      <c r="A474" s="99"/>
      <c r="B474" s="99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99"/>
    </row>
    <row r="475" ht="15.75" customHeight="1">
      <c r="A475" s="99"/>
      <c r="B475" s="99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99"/>
    </row>
    <row r="476" ht="15.75" customHeight="1">
      <c r="A476" s="99"/>
      <c r="B476" s="99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99"/>
    </row>
    <row r="477" ht="15.75" customHeight="1">
      <c r="A477" s="99"/>
      <c r="B477" s="99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99"/>
    </row>
    <row r="478" ht="15.75" customHeight="1">
      <c r="A478" s="99"/>
      <c r="B478" s="99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99"/>
    </row>
    <row r="479" ht="15.75" customHeight="1">
      <c r="A479" s="99"/>
      <c r="B479" s="99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99"/>
    </row>
    <row r="480" ht="15.75" customHeight="1">
      <c r="A480" s="99"/>
      <c r="B480" s="99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99"/>
    </row>
    <row r="481" ht="15.75" customHeight="1">
      <c r="A481" s="99"/>
      <c r="B481" s="99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99"/>
    </row>
    <row r="482" ht="15.75" customHeight="1">
      <c r="A482" s="99"/>
      <c r="B482" s="99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99"/>
    </row>
    <row r="483" ht="15.75" customHeight="1">
      <c r="A483" s="99"/>
      <c r="B483" s="99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99"/>
    </row>
    <row r="484" ht="15.75" customHeight="1">
      <c r="A484" s="99"/>
      <c r="B484" s="99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99"/>
    </row>
    <row r="485" ht="15.75" customHeight="1">
      <c r="A485" s="99"/>
      <c r="B485" s="99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99"/>
    </row>
    <row r="486" ht="15.75" customHeight="1">
      <c r="A486" s="99"/>
      <c r="B486" s="99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99"/>
    </row>
    <row r="487" ht="15.75" customHeight="1">
      <c r="A487" s="99"/>
      <c r="B487" s="99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99"/>
    </row>
    <row r="488" ht="15.75" customHeight="1">
      <c r="A488" s="99"/>
      <c r="B488" s="99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99"/>
    </row>
    <row r="489" ht="15.75" customHeight="1">
      <c r="A489" s="99"/>
      <c r="B489" s="99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99"/>
    </row>
    <row r="490" ht="15.75" customHeight="1">
      <c r="A490" s="99"/>
      <c r="B490" s="99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99"/>
    </row>
    <row r="491" ht="15.75" customHeight="1">
      <c r="A491" s="99"/>
      <c r="B491" s="99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99"/>
    </row>
    <row r="492" ht="15.75" customHeight="1">
      <c r="A492" s="99"/>
      <c r="B492" s="99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99"/>
    </row>
    <row r="493" ht="15.75" customHeight="1">
      <c r="A493" s="99"/>
      <c r="B493" s="99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99"/>
    </row>
    <row r="494" ht="15.75" customHeight="1">
      <c r="A494" s="99"/>
      <c r="B494" s="99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99"/>
    </row>
    <row r="495" ht="15.75" customHeight="1">
      <c r="A495" s="99"/>
      <c r="B495" s="99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99"/>
    </row>
    <row r="496" ht="15.75" customHeight="1">
      <c r="A496" s="99"/>
      <c r="B496" s="99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99"/>
    </row>
    <row r="497" ht="15.75" customHeight="1">
      <c r="A497" s="99"/>
      <c r="B497" s="99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99"/>
    </row>
    <row r="498" ht="15.75" customHeight="1">
      <c r="A498" s="99"/>
      <c r="B498" s="99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99"/>
    </row>
    <row r="499" ht="15.75" customHeight="1">
      <c r="A499" s="99"/>
      <c r="B499" s="99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99"/>
    </row>
    <row r="500" ht="15.75" customHeight="1">
      <c r="A500" s="99"/>
      <c r="B500" s="99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99"/>
    </row>
    <row r="501" ht="15.75" customHeight="1">
      <c r="A501" s="99"/>
      <c r="B501" s="99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99"/>
    </row>
    <row r="502" ht="15.75" customHeight="1">
      <c r="A502" s="99"/>
      <c r="B502" s="99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99"/>
    </row>
    <row r="503" ht="15.75" customHeight="1">
      <c r="A503" s="99"/>
      <c r="B503" s="99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99"/>
    </row>
    <row r="504" ht="15.75" customHeight="1">
      <c r="A504" s="99"/>
      <c r="B504" s="99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99"/>
    </row>
    <row r="505" ht="15.75" customHeight="1">
      <c r="A505" s="99"/>
      <c r="B505" s="99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99"/>
    </row>
    <row r="506" ht="15.75" customHeight="1">
      <c r="A506" s="99"/>
      <c r="B506" s="99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99"/>
    </row>
    <row r="507" ht="15.75" customHeight="1">
      <c r="A507" s="99"/>
      <c r="B507" s="99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99"/>
    </row>
    <row r="508" ht="15.75" customHeight="1">
      <c r="A508" s="99"/>
      <c r="B508" s="99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99"/>
    </row>
    <row r="509" ht="15.75" customHeight="1">
      <c r="A509" s="99"/>
      <c r="B509" s="99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99"/>
    </row>
    <row r="510" ht="15.75" customHeight="1">
      <c r="A510" s="99"/>
      <c r="B510" s="99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99"/>
    </row>
    <row r="511" ht="15.75" customHeight="1">
      <c r="A511" s="99"/>
      <c r="B511" s="99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99"/>
    </row>
    <row r="512" ht="15.75" customHeight="1">
      <c r="A512" s="99"/>
      <c r="B512" s="99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99"/>
    </row>
    <row r="513" ht="15.75" customHeight="1">
      <c r="A513" s="99"/>
      <c r="B513" s="99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99"/>
    </row>
    <row r="514" ht="15.75" customHeight="1">
      <c r="A514" s="99"/>
      <c r="B514" s="99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99"/>
    </row>
    <row r="515" ht="15.75" customHeight="1">
      <c r="A515" s="99"/>
      <c r="B515" s="99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99"/>
    </row>
    <row r="516" ht="15.75" customHeight="1">
      <c r="A516" s="99"/>
      <c r="B516" s="99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99"/>
    </row>
    <row r="517" ht="15.75" customHeight="1">
      <c r="A517" s="99"/>
      <c r="B517" s="99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99"/>
    </row>
    <row r="518" ht="15.75" customHeight="1">
      <c r="A518" s="99"/>
      <c r="B518" s="99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99"/>
    </row>
    <row r="519" ht="15.75" customHeight="1">
      <c r="A519" s="99"/>
      <c r="B519" s="99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99"/>
    </row>
    <row r="520" ht="15.75" customHeight="1">
      <c r="A520" s="99"/>
      <c r="B520" s="99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99"/>
    </row>
    <row r="521" ht="15.75" customHeight="1">
      <c r="A521" s="99"/>
      <c r="B521" s="99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99"/>
    </row>
    <row r="522" ht="15.75" customHeight="1">
      <c r="A522" s="99"/>
      <c r="B522" s="99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99"/>
    </row>
    <row r="523" ht="15.75" customHeight="1">
      <c r="A523" s="99"/>
      <c r="B523" s="99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99"/>
    </row>
    <row r="524" ht="15.75" customHeight="1">
      <c r="A524" s="99"/>
      <c r="B524" s="99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99"/>
    </row>
    <row r="525" ht="15.75" customHeight="1">
      <c r="A525" s="99"/>
      <c r="B525" s="99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99"/>
    </row>
    <row r="526" ht="15.75" customHeight="1">
      <c r="A526" s="99"/>
      <c r="B526" s="99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99"/>
    </row>
    <row r="527" ht="15.75" customHeight="1">
      <c r="A527" s="99"/>
      <c r="B527" s="99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99"/>
    </row>
    <row r="528" ht="15.75" customHeight="1">
      <c r="A528" s="99"/>
      <c r="B528" s="99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99"/>
    </row>
    <row r="529" ht="15.75" customHeight="1">
      <c r="A529" s="99"/>
      <c r="B529" s="99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99"/>
    </row>
    <row r="530" ht="15.75" customHeight="1">
      <c r="A530" s="99"/>
      <c r="B530" s="99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99"/>
    </row>
    <row r="531" ht="15.75" customHeight="1">
      <c r="A531" s="99"/>
      <c r="B531" s="99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99"/>
    </row>
    <row r="532" ht="15.75" customHeight="1">
      <c r="A532" s="99"/>
      <c r="B532" s="99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99"/>
    </row>
    <row r="533" ht="15.75" customHeight="1">
      <c r="A533" s="99"/>
      <c r="B533" s="99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99"/>
    </row>
    <row r="534" ht="15.75" customHeight="1">
      <c r="A534" s="99"/>
      <c r="B534" s="99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99"/>
    </row>
    <row r="535" ht="15.75" customHeight="1">
      <c r="A535" s="99"/>
      <c r="B535" s="99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99"/>
    </row>
    <row r="536" ht="15.75" customHeight="1">
      <c r="A536" s="99"/>
      <c r="B536" s="99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99"/>
    </row>
    <row r="537" ht="15.75" customHeight="1">
      <c r="A537" s="99"/>
      <c r="B537" s="99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99"/>
    </row>
    <row r="538" ht="15.75" customHeight="1">
      <c r="A538" s="99"/>
      <c r="B538" s="99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99"/>
    </row>
    <row r="539" ht="15.75" customHeight="1">
      <c r="A539" s="99"/>
      <c r="B539" s="99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99"/>
    </row>
    <row r="540" ht="15.75" customHeight="1">
      <c r="A540" s="99"/>
      <c r="B540" s="99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99"/>
    </row>
    <row r="541" ht="15.75" customHeight="1">
      <c r="A541" s="99"/>
      <c r="B541" s="99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99"/>
    </row>
    <row r="542" ht="15.75" customHeight="1">
      <c r="A542" s="99"/>
      <c r="B542" s="99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99"/>
    </row>
    <row r="543" ht="15.75" customHeight="1">
      <c r="A543" s="99"/>
      <c r="B543" s="99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99"/>
    </row>
    <row r="544" ht="15.75" customHeight="1">
      <c r="A544" s="99"/>
      <c r="B544" s="99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99"/>
    </row>
    <row r="545" ht="15.75" customHeight="1">
      <c r="A545" s="99"/>
      <c r="B545" s="99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99"/>
    </row>
    <row r="546" ht="15.75" customHeight="1">
      <c r="A546" s="99"/>
      <c r="B546" s="99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99"/>
    </row>
    <row r="547" ht="15.75" customHeight="1">
      <c r="A547" s="99"/>
      <c r="B547" s="99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99"/>
    </row>
    <row r="548" ht="15.75" customHeight="1">
      <c r="A548" s="99"/>
      <c r="B548" s="99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99"/>
    </row>
    <row r="549" ht="15.75" customHeight="1">
      <c r="A549" s="99"/>
      <c r="B549" s="99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99"/>
    </row>
    <row r="550" ht="15.75" customHeight="1">
      <c r="A550" s="99"/>
      <c r="B550" s="99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99"/>
    </row>
    <row r="551" ht="15.75" customHeight="1">
      <c r="A551" s="99"/>
      <c r="B551" s="99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99"/>
    </row>
    <row r="552" ht="15.75" customHeight="1">
      <c r="A552" s="99"/>
      <c r="B552" s="99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99"/>
    </row>
    <row r="553" ht="15.75" customHeight="1">
      <c r="A553" s="99"/>
      <c r="B553" s="99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99"/>
    </row>
    <row r="554" ht="15.75" customHeight="1">
      <c r="A554" s="99"/>
      <c r="B554" s="99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99"/>
    </row>
    <row r="555" ht="15.75" customHeight="1">
      <c r="A555" s="99"/>
      <c r="B555" s="99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99"/>
    </row>
    <row r="556" ht="15.75" customHeight="1">
      <c r="A556" s="99"/>
      <c r="B556" s="99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99"/>
    </row>
    <row r="557" ht="15.75" customHeight="1">
      <c r="A557" s="99"/>
      <c r="B557" s="99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99"/>
    </row>
    <row r="558" ht="15.75" customHeight="1">
      <c r="A558" s="99"/>
      <c r="B558" s="99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99"/>
    </row>
    <row r="559" ht="15.75" customHeight="1">
      <c r="A559" s="99"/>
      <c r="B559" s="99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99"/>
    </row>
    <row r="560" ht="15.75" customHeight="1">
      <c r="A560" s="99"/>
      <c r="B560" s="99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99"/>
    </row>
    <row r="561" ht="15.75" customHeight="1">
      <c r="A561" s="99"/>
      <c r="B561" s="99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99"/>
    </row>
    <row r="562" ht="15.75" customHeight="1">
      <c r="A562" s="99"/>
      <c r="B562" s="99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99"/>
    </row>
    <row r="563" ht="15.75" customHeight="1">
      <c r="A563" s="99"/>
      <c r="B563" s="99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99"/>
    </row>
    <row r="564" ht="15.75" customHeight="1">
      <c r="A564" s="99"/>
      <c r="B564" s="99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99"/>
    </row>
    <row r="565" ht="15.75" customHeight="1">
      <c r="A565" s="99"/>
      <c r="B565" s="99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99"/>
    </row>
    <row r="566" ht="15.75" customHeight="1">
      <c r="A566" s="99"/>
      <c r="B566" s="99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99"/>
    </row>
    <row r="567" ht="15.75" customHeight="1">
      <c r="A567" s="99"/>
      <c r="B567" s="99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99"/>
    </row>
    <row r="568" ht="15.75" customHeight="1">
      <c r="A568" s="99"/>
      <c r="B568" s="99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99"/>
    </row>
    <row r="569" ht="15.75" customHeight="1">
      <c r="A569" s="99"/>
      <c r="B569" s="99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99"/>
    </row>
    <row r="570" ht="15.75" customHeight="1">
      <c r="A570" s="99"/>
      <c r="B570" s="99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99"/>
    </row>
    <row r="571" ht="15.75" customHeight="1">
      <c r="A571" s="99"/>
      <c r="B571" s="99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99"/>
    </row>
    <row r="572" ht="15.75" customHeight="1">
      <c r="A572" s="99"/>
      <c r="B572" s="99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99"/>
    </row>
    <row r="573" ht="15.75" customHeight="1">
      <c r="A573" s="99"/>
      <c r="B573" s="99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99"/>
    </row>
    <row r="574" ht="15.75" customHeight="1">
      <c r="A574" s="99"/>
      <c r="B574" s="99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99"/>
    </row>
    <row r="575" ht="15.75" customHeight="1">
      <c r="A575" s="99"/>
      <c r="B575" s="99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99"/>
    </row>
    <row r="576" ht="15.75" customHeight="1">
      <c r="A576" s="99"/>
      <c r="B576" s="99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99"/>
    </row>
    <row r="577" ht="15.75" customHeight="1">
      <c r="A577" s="99"/>
      <c r="B577" s="99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99"/>
    </row>
    <row r="578" ht="15.75" customHeight="1">
      <c r="A578" s="99"/>
      <c r="B578" s="99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99"/>
    </row>
    <row r="579" ht="15.75" customHeight="1">
      <c r="A579" s="99"/>
      <c r="B579" s="99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99"/>
    </row>
    <row r="580" ht="15.75" customHeight="1">
      <c r="A580" s="99"/>
      <c r="B580" s="99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99"/>
    </row>
    <row r="581" ht="15.75" customHeight="1">
      <c r="A581" s="99"/>
      <c r="B581" s="99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99"/>
    </row>
    <row r="582" ht="15.75" customHeight="1">
      <c r="A582" s="99"/>
      <c r="B582" s="99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99"/>
    </row>
    <row r="583" ht="15.75" customHeight="1">
      <c r="A583" s="99"/>
      <c r="B583" s="99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99"/>
    </row>
    <row r="584" ht="15.75" customHeight="1">
      <c r="A584" s="99"/>
      <c r="B584" s="99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99"/>
    </row>
    <row r="585" ht="15.75" customHeight="1">
      <c r="A585" s="99"/>
      <c r="B585" s="99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99"/>
    </row>
    <row r="586" ht="15.75" customHeight="1">
      <c r="A586" s="99"/>
      <c r="B586" s="99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99"/>
    </row>
    <row r="587" ht="15.75" customHeight="1">
      <c r="A587" s="99"/>
      <c r="B587" s="99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99"/>
    </row>
    <row r="588" ht="15.75" customHeight="1">
      <c r="A588" s="99"/>
      <c r="B588" s="99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99"/>
    </row>
    <row r="589" ht="15.75" customHeight="1">
      <c r="A589" s="99"/>
      <c r="B589" s="99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99"/>
    </row>
    <row r="590" ht="15.75" customHeight="1">
      <c r="A590" s="99"/>
      <c r="B590" s="99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99"/>
    </row>
    <row r="591" ht="15.75" customHeight="1">
      <c r="A591" s="99"/>
      <c r="B591" s="99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99"/>
    </row>
    <row r="592" ht="15.75" customHeight="1">
      <c r="A592" s="99"/>
      <c r="B592" s="99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99"/>
    </row>
    <row r="593" ht="15.75" customHeight="1">
      <c r="A593" s="99"/>
      <c r="B593" s="99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99"/>
    </row>
    <row r="594" ht="15.75" customHeight="1">
      <c r="A594" s="99"/>
      <c r="B594" s="99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99"/>
    </row>
    <row r="595" ht="15.75" customHeight="1">
      <c r="A595" s="99"/>
      <c r="B595" s="99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99"/>
    </row>
    <row r="596" ht="15.75" customHeight="1">
      <c r="A596" s="99"/>
      <c r="B596" s="99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99"/>
    </row>
    <row r="597" ht="15.75" customHeight="1">
      <c r="A597" s="99"/>
      <c r="B597" s="99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99"/>
    </row>
    <row r="598" ht="15.75" customHeight="1">
      <c r="A598" s="99"/>
      <c r="B598" s="99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99"/>
    </row>
    <row r="599" ht="15.75" customHeight="1">
      <c r="A599" s="99"/>
      <c r="B599" s="99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99"/>
    </row>
    <row r="600" ht="15.75" customHeight="1">
      <c r="A600" s="99"/>
      <c r="B600" s="99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99"/>
    </row>
    <row r="601" ht="15.75" customHeight="1">
      <c r="A601" s="99"/>
      <c r="B601" s="99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99"/>
    </row>
    <row r="602" ht="15.75" customHeight="1">
      <c r="A602" s="99"/>
      <c r="B602" s="99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99"/>
    </row>
    <row r="603" ht="15.75" customHeight="1">
      <c r="A603" s="99"/>
      <c r="B603" s="99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99"/>
    </row>
    <row r="604" ht="15.75" customHeight="1">
      <c r="A604" s="99"/>
      <c r="B604" s="99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99"/>
    </row>
    <row r="605" ht="15.75" customHeight="1">
      <c r="A605" s="99"/>
      <c r="B605" s="99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99"/>
    </row>
    <row r="606" ht="15.75" customHeight="1">
      <c r="A606" s="99"/>
      <c r="B606" s="99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99"/>
    </row>
    <row r="607" ht="15.75" customHeight="1">
      <c r="A607" s="99"/>
      <c r="B607" s="99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99"/>
    </row>
    <row r="608" ht="15.75" customHeight="1">
      <c r="A608" s="99"/>
      <c r="B608" s="99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99"/>
    </row>
    <row r="609" ht="15.75" customHeight="1">
      <c r="A609" s="99"/>
      <c r="B609" s="99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99"/>
    </row>
    <row r="610" ht="15.75" customHeight="1">
      <c r="A610" s="99"/>
      <c r="B610" s="99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99"/>
    </row>
    <row r="611" ht="15.75" customHeight="1">
      <c r="A611" s="99"/>
      <c r="B611" s="99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99"/>
    </row>
    <row r="612" ht="15.75" customHeight="1">
      <c r="A612" s="99"/>
      <c r="B612" s="99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99"/>
    </row>
    <row r="613" ht="15.75" customHeight="1">
      <c r="A613" s="99"/>
      <c r="B613" s="99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99"/>
    </row>
    <row r="614" ht="15.75" customHeight="1">
      <c r="A614" s="99"/>
      <c r="B614" s="99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99"/>
    </row>
    <row r="615" ht="15.75" customHeight="1">
      <c r="A615" s="99"/>
      <c r="B615" s="99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99"/>
    </row>
    <row r="616" ht="15.75" customHeight="1">
      <c r="A616" s="99"/>
      <c r="B616" s="99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99"/>
    </row>
    <row r="617" ht="15.75" customHeight="1">
      <c r="A617" s="99"/>
      <c r="B617" s="99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99"/>
    </row>
    <row r="618" ht="15.75" customHeight="1">
      <c r="A618" s="99"/>
      <c r="B618" s="99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99"/>
    </row>
    <row r="619" ht="15.75" customHeight="1">
      <c r="A619" s="99"/>
      <c r="B619" s="99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99"/>
    </row>
    <row r="620" ht="15.75" customHeight="1">
      <c r="A620" s="99"/>
      <c r="B620" s="99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99"/>
    </row>
    <row r="621" ht="15.75" customHeight="1">
      <c r="A621" s="99"/>
      <c r="B621" s="99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99"/>
    </row>
    <row r="622" ht="15.75" customHeight="1">
      <c r="A622" s="99"/>
      <c r="B622" s="99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99"/>
    </row>
    <row r="623" ht="15.75" customHeight="1">
      <c r="A623" s="99"/>
      <c r="B623" s="99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99"/>
    </row>
    <row r="624" ht="15.75" customHeight="1">
      <c r="A624" s="99"/>
      <c r="B624" s="99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99"/>
    </row>
    <row r="625" ht="15.75" customHeight="1">
      <c r="A625" s="99"/>
      <c r="B625" s="99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99"/>
    </row>
    <row r="626" ht="15.75" customHeight="1">
      <c r="A626" s="99"/>
      <c r="B626" s="99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99"/>
    </row>
    <row r="627" ht="15.75" customHeight="1">
      <c r="A627" s="99"/>
      <c r="B627" s="99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99"/>
    </row>
    <row r="628" ht="15.75" customHeight="1">
      <c r="A628" s="99"/>
      <c r="B628" s="99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99"/>
    </row>
    <row r="629" ht="15.75" customHeight="1">
      <c r="A629" s="99"/>
      <c r="B629" s="99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99"/>
    </row>
    <row r="630" ht="15.75" customHeight="1">
      <c r="A630" s="99"/>
      <c r="B630" s="99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99"/>
    </row>
    <row r="631" ht="15.75" customHeight="1">
      <c r="A631" s="99"/>
      <c r="B631" s="99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99"/>
    </row>
    <row r="632" ht="15.75" customHeight="1">
      <c r="A632" s="99"/>
      <c r="B632" s="99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99"/>
    </row>
    <row r="633" ht="15.75" customHeight="1">
      <c r="A633" s="99"/>
      <c r="B633" s="99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99"/>
    </row>
    <row r="634" ht="15.75" customHeight="1">
      <c r="A634" s="99"/>
      <c r="B634" s="99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99"/>
    </row>
    <row r="635" ht="15.75" customHeight="1">
      <c r="A635" s="99"/>
      <c r="B635" s="99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99"/>
    </row>
    <row r="636" ht="15.75" customHeight="1">
      <c r="A636" s="99"/>
      <c r="B636" s="99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99"/>
    </row>
    <row r="637" ht="15.75" customHeight="1">
      <c r="A637" s="99"/>
      <c r="B637" s="99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99"/>
    </row>
    <row r="638" ht="15.75" customHeight="1">
      <c r="A638" s="99"/>
      <c r="B638" s="99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99"/>
    </row>
    <row r="639" ht="15.75" customHeight="1">
      <c r="A639" s="99"/>
      <c r="B639" s="99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99"/>
    </row>
    <row r="640" ht="15.75" customHeight="1">
      <c r="A640" s="99"/>
      <c r="B640" s="99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99"/>
    </row>
    <row r="641" ht="15.75" customHeight="1">
      <c r="A641" s="99"/>
      <c r="B641" s="99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99"/>
    </row>
    <row r="642" ht="15.75" customHeight="1">
      <c r="A642" s="99"/>
      <c r="B642" s="99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99"/>
    </row>
    <row r="643" ht="15.75" customHeight="1">
      <c r="A643" s="99"/>
      <c r="B643" s="99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99"/>
    </row>
    <row r="644" ht="15.75" customHeight="1">
      <c r="A644" s="99"/>
      <c r="B644" s="99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99"/>
    </row>
    <row r="645" ht="15.75" customHeight="1">
      <c r="A645" s="99"/>
      <c r="B645" s="99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99"/>
    </row>
    <row r="646" ht="15.75" customHeight="1">
      <c r="A646" s="99"/>
      <c r="B646" s="99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99"/>
    </row>
    <row r="647" ht="15.75" customHeight="1">
      <c r="A647" s="99"/>
      <c r="B647" s="99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99"/>
    </row>
    <row r="648" ht="15.75" customHeight="1">
      <c r="A648" s="99"/>
      <c r="B648" s="99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99"/>
    </row>
    <row r="649" ht="15.75" customHeight="1">
      <c r="A649" s="99"/>
      <c r="B649" s="99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99"/>
    </row>
    <row r="650" ht="15.75" customHeight="1">
      <c r="A650" s="99"/>
      <c r="B650" s="99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99"/>
    </row>
    <row r="651" ht="15.75" customHeight="1">
      <c r="A651" s="99"/>
      <c r="B651" s="99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99"/>
    </row>
    <row r="652" ht="15.75" customHeight="1">
      <c r="A652" s="99"/>
      <c r="B652" s="99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99"/>
    </row>
    <row r="653" ht="15.75" customHeight="1">
      <c r="A653" s="99"/>
      <c r="B653" s="99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99"/>
    </row>
    <row r="654" ht="15.75" customHeight="1">
      <c r="A654" s="99"/>
      <c r="B654" s="99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99"/>
    </row>
    <row r="655" ht="15.75" customHeight="1">
      <c r="A655" s="99"/>
      <c r="B655" s="99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99"/>
    </row>
    <row r="656" ht="15.75" customHeight="1">
      <c r="A656" s="99"/>
      <c r="B656" s="99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99"/>
    </row>
    <row r="657" ht="15.75" customHeight="1">
      <c r="A657" s="99"/>
      <c r="B657" s="99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99"/>
    </row>
    <row r="658" ht="15.75" customHeight="1">
      <c r="A658" s="99"/>
      <c r="B658" s="99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99"/>
    </row>
    <row r="659" ht="15.75" customHeight="1">
      <c r="A659" s="99"/>
      <c r="B659" s="99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99"/>
    </row>
    <row r="660" ht="15.75" customHeight="1">
      <c r="A660" s="99"/>
      <c r="B660" s="99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99"/>
    </row>
    <row r="661" ht="15.75" customHeight="1">
      <c r="A661" s="99"/>
      <c r="B661" s="99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99"/>
    </row>
    <row r="662" ht="15.75" customHeight="1">
      <c r="A662" s="99"/>
      <c r="B662" s="99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99"/>
    </row>
    <row r="663" ht="15.75" customHeight="1">
      <c r="A663" s="99"/>
      <c r="B663" s="99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99"/>
    </row>
    <row r="664" ht="15.75" customHeight="1">
      <c r="A664" s="99"/>
      <c r="B664" s="99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99"/>
    </row>
    <row r="665" ht="15.75" customHeight="1">
      <c r="A665" s="99"/>
      <c r="B665" s="99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99"/>
    </row>
    <row r="666" ht="15.75" customHeight="1">
      <c r="A666" s="99"/>
      <c r="B666" s="99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99"/>
    </row>
    <row r="667" ht="15.75" customHeight="1">
      <c r="A667" s="99"/>
      <c r="B667" s="99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99"/>
    </row>
    <row r="668" ht="15.75" customHeight="1">
      <c r="A668" s="99"/>
      <c r="B668" s="99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99"/>
    </row>
    <row r="669" ht="15.75" customHeight="1">
      <c r="A669" s="99"/>
      <c r="B669" s="99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99"/>
    </row>
    <row r="670" ht="15.75" customHeight="1">
      <c r="A670" s="99"/>
      <c r="B670" s="99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99"/>
    </row>
    <row r="671" ht="15.75" customHeight="1">
      <c r="A671" s="99"/>
      <c r="B671" s="99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99"/>
    </row>
    <row r="672" ht="15.75" customHeight="1">
      <c r="A672" s="99"/>
      <c r="B672" s="99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99"/>
    </row>
    <row r="673" ht="15.75" customHeight="1">
      <c r="A673" s="99"/>
      <c r="B673" s="99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99"/>
    </row>
    <row r="674" ht="15.75" customHeight="1">
      <c r="A674" s="99"/>
      <c r="B674" s="99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99"/>
    </row>
    <row r="675" ht="15.75" customHeight="1">
      <c r="A675" s="99"/>
      <c r="B675" s="99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99"/>
    </row>
    <row r="676" ht="15.75" customHeight="1">
      <c r="A676" s="99"/>
      <c r="B676" s="99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99"/>
    </row>
    <row r="677" ht="15.75" customHeight="1">
      <c r="A677" s="99"/>
      <c r="B677" s="99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99"/>
    </row>
    <row r="678" ht="15.75" customHeight="1">
      <c r="A678" s="99"/>
      <c r="B678" s="99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99"/>
    </row>
    <row r="679" ht="15.75" customHeight="1">
      <c r="A679" s="99"/>
      <c r="B679" s="99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99"/>
    </row>
    <row r="680" ht="15.75" customHeight="1">
      <c r="A680" s="99"/>
      <c r="B680" s="99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99"/>
    </row>
    <row r="681" ht="15.75" customHeight="1">
      <c r="A681" s="99"/>
      <c r="B681" s="99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99"/>
    </row>
    <row r="682" ht="15.75" customHeight="1">
      <c r="A682" s="99"/>
      <c r="B682" s="99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99"/>
    </row>
    <row r="683" ht="15.75" customHeight="1">
      <c r="A683" s="99"/>
      <c r="B683" s="99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99"/>
    </row>
    <row r="684" ht="15.75" customHeight="1">
      <c r="A684" s="99"/>
      <c r="B684" s="99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99"/>
    </row>
    <row r="685" ht="15.75" customHeight="1">
      <c r="A685" s="99"/>
      <c r="B685" s="99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99"/>
    </row>
    <row r="686" ht="15.75" customHeight="1">
      <c r="A686" s="99"/>
      <c r="B686" s="99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99"/>
    </row>
    <row r="687" ht="15.75" customHeight="1">
      <c r="A687" s="99"/>
      <c r="B687" s="99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99"/>
    </row>
    <row r="688" ht="15.75" customHeight="1">
      <c r="A688" s="99"/>
      <c r="B688" s="99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99"/>
    </row>
    <row r="689" ht="15.75" customHeight="1">
      <c r="A689" s="99"/>
      <c r="B689" s="99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99"/>
    </row>
    <row r="690" ht="15.75" customHeight="1">
      <c r="A690" s="99"/>
      <c r="B690" s="99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99"/>
    </row>
    <row r="691" ht="15.75" customHeight="1">
      <c r="A691" s="99"/>
      <c r="B691" s="99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99"/>
    </row>
    <row r="692" ht="15.75" customHeight="1">
      <c r="A692" s="99"/>
      <c r="B692" s="99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99"/>
    </row>
    <row r="693" ht="15.75" customHeight="1">
      <c r="A693" s="99"/>
      <c r="B693" s="99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99"/>
    </row>
    <row r="694" ht="15.75" customHeight="1">
      <c r="A694" s="99"/>
      <c r="B694" s="99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99"/>
    </row>
    <row r="695" ht="15.75" customHeight="1">
      <c r="A695" s="99"/>
      <c r="B695" s="99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99"/>
    </row>
    <row r="696" ht="15.75" customHeight="1">
      <c r="A696" s="99"/>
      <c r="B696" s="99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99"/>
    </row>
    <row r="697" ht="15.75" customHeight="1">
      <c r="A697" s="99"/>
      <c r="B697" s="99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99"/>
    </row>
    <row r="698" ht="15.75" customHeight="1">
      <c r="A698" s="99"/>
      <c r="B698" s="99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99"/>
    </row>
    <row r="699" ht="15.75" customHeight="1">
      <c r="A699" s="99"/>
      <c r="B699" s="99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99"/>
    </row>
    <row r="700" ht="15.75" customHeight="1">
      <c r="A700" s="99"/>
      <c r="B700" s="99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99"/>
    </row>
    <row r="701" ht="15.75" customHeight="1">
      <c r="A701" s="99"/>
      <c r="B701" s="99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99"/>
    </row>
    <row r="702" ht="15.75" customHeight="1">
      <c r="A702" s="99"/>
      <c r="B702" s="99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99"/>
    </row>
    <row r="703" ht="15.75" customHeight="1">
      <c r="A703" s="99"/>
      <c r="B703" s="99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99"/>
    </row>
    <row r="704" ht="15.75" customHeight="1">
      <c r="A704" s="99"/>
      <c r="B704" s="99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99"/>
    </row>
    <row r="705" ht="15.75" customHeight="1">
      <c r="A705" s="99"/>
      <c r="B705" s="99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99"/>
    </row>
    <row r="706" ht="15.75" customHeight="1">
      <c r="A706" s="99"/>
      <c r="B706" s="99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99"/>
    </row>
    <row r="707" ht="15.75" customHeight="1">
      <c r="A707" s="99"/>
      <c r="B707" s="99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99"/>
    </row>
    <row r="708" ht="15.75" customHeight="1">
      <c r="A708" s="99"/>
      <c r="B708" s="99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99"/>
    </row>
    <row r="709" ht="15.75" customHeight="1">
      <c r="A709" s="99"/>
      <c r="B709" s="99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99"/>
    </row>
    <row r="710" ht="15.75" customHeight="1">
      <c r="A710" s="99"/>
      <c r="B710" s="99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99"/>
    </row>
    <row r="711" ht="15.75" customHeight="1">
      <c r="A711" s="99"/>
      <c r="B711" s="99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99"/>
    </row>
    <row r="712" ht="15.75" customHeight="1">
      <c r="A712" s="99"/>
      <c r="B712" s="99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99"/>
    </row>
    <row r="713" ht="15.75" customHeight="1">
      <c r="A713" s="99"/>
      <c r="B713" s="99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99"/>
    </row>
    <row r="714" ht="15.75" customHeight="1">
      <c r="A714" s="99"/>
      <c r="B714" s="99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99"/>
    </row>
    <row r="715" ht="15.75" customHeight="1">
      <c r="A715" s="99"/>
      <c r="B715" s="99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99"/>
    </row>
    <row r="716" ht="15.75" customHeight="1">
      <c r="A716" s="99"/>
      <c r="B716" s="99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99"/>
    </row>
    <row r="717" ht="15.75" customHeight="1">
      <c r="A717" s="99"/>
      <c r="B717" s="99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99"/>
    </row>
    <row r="718" ht="15.75" customHeight="1">
      <c r="A718" s="99"/>
      <c r="B718" s="99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99"/>
    </row>
    <row r="719" ht="15.75" customHeight="1">
      <c r="A719" s="99"/>
      <c r="B719" s="99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99"/>
    </row>
    <row r="720" ht="15.75" customHeight="1">
      <c r="A720" s="99"/>
      <c r="B720" s="99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99"/>
    </row>
    <row r="721" ht="15.75" customHeight="1">
      <c r="A721" s="99"/>
      <c r="B721" s="99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99"/>
    </row>
    <row r="722" ht="15.75" customHeight="1">
      <c r="A722" s="99"/>
      <c r="B722" s="99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99"/>
    </row>
    <row r="723" ht="15.75" customHeight="1">
      <c r="A723" s="99"/>
      <c r="B723" s="99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99"/>
    </row>
    <row r="724" ht="15.75" customHeight="1">
      <c r="A724" s="99"/>
      <c r="B724" s="99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99"/>
    </row>
    <row r="725" ht="15.75" customHeight="1">
      <c r="A725" s="99"/>
      <c r="B725" s="99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99"/>
    </row>
    <row r="726" ht="15.75" customHeight="1">
      <c r="A726" s="99"/>
      <c r="B726" s="99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99"/>
    </row>
    <row r="727" ht="15.75" customHeight="1">
      <c r="A727" s="99"/>
      <c r="B727" s="99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99"/>
    </row>
    <row r="728" ht="15.75" customHeight="1">
      <c r="A728" s="99"/>
      <c r="B728" s="99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99"/>
    </row>
    <row r="729" ht="15.75" customHeight="1">
      <c r="A729" s="99"/>
      <c r="B729" s="99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99"/>
    </row>
    <row r="730" ht="15.75" customHeight="1">
      <c r="A730" s="99"/>
      <c r="B730" s="99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99"/>
    </row>
    <row r="731" ht="15.75" customHeight="1">
      <c r="A731" s="99"/>
      <c r="B731" s="99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99"/>
    </row>
    <row r="732" ht="15.75" customHeight="1">
      <c r="A732" s="99"/>
      <c r="B732" s="99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99"/>
    </row>
    <row r="733" ht="15.75" customHeight="1">
      <c r="A733" s="99"/>
      <c r="B733" s="99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99"/>
    </row>
    <row r="734" ht="15.75" customHeight="1">
      <c r="A734" s="99"/>
      <c r="B734" s="99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99"/>
    </row>
    <row r="735" ht="15.75" customHeight="1">
      <c r="A735" s="99"/>
      <c r="B735" s="99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99"/>
    </row>
    <row r="736" ht="15.75" customHeight="1">
      <c r="A736" s="99"/>
      <c r="B736" s="99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99"/>
    </row>
    <row r="737" ht="15.75" customHeight="1">
      <c r="A737" s="99"/>
      <c r="B737" s="99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99"/>
    </row>
    <row r="738" ht="15.75" customHeight="1">
      <c r="A738" s="99"/>
      <c r="B738" s="99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99"/>
    </row>
    <row r="739" ht="15.75" customHeight="1">
      <c r="A739" s="99"/>
      <c r="B739" s="99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99"/>
    </row>
    <row r="740" ht="15.75" customHeight="1">
      <c r="A740" s="99"/>
      <c r="B740" s="99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99"/>
    </row>
    <row r="741" ht="15.75" customHeight="1">
      <c r="A741" s="99"/>
      <c r="B741" s="99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99"/>
    </row>
    <row r="742" ht="15.75" customHeight="1">
      <c r="A742" s="99"/>
      <c r="B742" s="99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99"/>
    </row>
    <row r="743" ht="15.75" customHeight="1">
      <c r="A743" s="99"/>
      <c r="B743" s="99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99"/>
    </row>
    <row r="744" ht="15.75" customHeight="1">
      <c r="A744" s="99"/>
      <c r="B744" s="99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99"/>
    </row>
    <row r="745" ht="15.75" customHeight="1">
      <c r="A745" s="99"/>
      <c r="B745" s="99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99"/>
    </row>
    <row r="746" ht="15.75" customHeight="1">
      <c r="A746" s="99"/>
      <c r="B746" s="99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99"/>
    </row>
    <row r="747" ht="15.75" customHeight="1">
      <c r="A747" s="99"/>
      <c r="B747" s="99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99"/>
    </row>
    <row r="748" ht="15.75" customHeight="1">
      <c r="A748" s="99"/>
      <c r="B748" s="99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99"/>
    </row>
    <row r="749" ht="15.75" customHeight="1">
      <c r="A749" s="99"/>
      <c r="B749" s="99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99"/>
    </row>
    <row r="750" ht="15.75" customHeight="1">
      <c r="A750" s="99"/>
      <c r="B750" s="99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99"/>
    </row>
    <row r="751" ht="15.75" customHeight="1">
      <c r="A751" s="99"/>
      <c r="B751" s="99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99"/>
    </row>
    <row r="752" ht="15.75" customHeight="1">
      <c r="A752" s="99"/>
      <c r="B752" s="99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99"/>
    </row>
    <row r="753" ht="15.75" customHeight="1">
      <c r="A753" s="99"/>
      <c r="B753" s="99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99"/>
    </row>
    <row r="754" ht="15.75" customHeight="1">
      <c r="A754" s="99"/>
      <c r="B754" s="99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99"/>
    </row>
    <row r="755" ht="15.75" customHeight="1">
      <c r="A755" s="99"/>
      <c r="B755" s="99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99"/>
    </row>
    <row r="756" ht="15.75" customHeight="1">
      <c r="A756" s="99"/>
      <c r="B756" s="99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99"/>
    </row>
    <row r="757" ht="15.75" customHeight="1">
      <c r="A757" s="99"/>
      <c r="B757" s="99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99"/>
    </row>
    <row r="758" ht="15.75" customHeight="1">
      <c r="A758" s="99"/>
      <c r="B758" s="99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99"/>
    </row>
    <row r="759" ht="15.75" customHeight="1">
      <c r="A759" s="99"/>
      <c r="B759" s="99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99"/>
    </row>
    <row r="760" ht="15.75" customHeight="1">
      <c r="A760" s="99"/>
      <c r="B760" s="99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99"/>
    </row>
    <row r="761" ht="15.75" customHeight="1">
      <c r="A761" s="99"/>
      <c r="B761" s="99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99"/>
    </row>
    <row r="762" ht="15.75" customHeight="1">
      <c r="A762" s="99"/>
      <c r="B762" s="99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99"/>
    </row>
    <row r="763" ht="15.75" customHeight="1">
      <c r="A763" s="99"/>
      <c r="B763" s="99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99"/>
    </row>
    <row r="764" ht="15.75" customHeight="1">
      <c r="A764" s="99"/>
      <c r="B764" s="99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99"/>
    </row>
    <row r="765" ht="15.75" customHeight="1">
      <c r="A765" s="99"/>
      <c r="B765" s="99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99"/>
    </row>
    <row r="766" ht="15.75" customHeight="1">
      <c r="A766" s="99"/>
      <c r="B766" s="99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99"/>
    </row>
    <row r="767" ht="15.75" customHeight="1">
      <c r="A767" s="99"/>
      <c r="B767" s="99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99"/>
    </row>
    <row r="768" ht="15.75" customHeight="1">
      <c r="A768" s="99"/>
      <c r="B768" s="99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99"/>
    </row>
    <row r="769" ht="15.75" customHeight="1">
      <c r="A769" s="99"/>
      <c r="B769" s="99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99"/>
    </row>
    <row r="770" ht="15.75" customHeight="1">
      <c r="A770" s="99"/>
      <c r="B770" s="99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99"/>
    </row>
    <row r="771" ht="15.75" customHeight="1">
      <c r="A771" s="99"/>
      <c r="B771" s="99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99"/>
    </row>
    <row r="772" ht="15.75" customHeight="1">
      <c r="A772" s="99"/>
      <c r="B772" s="99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99"/>
    </row>
    <row r="773" ht="15.75" customHeight="1">
      <c r="A773" s="99"/>
      <c r="B773" s="99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99"/>
    </row>
    <row r="774" ht="15.75" customHeight="1">
      <c r="A774" s="99"/>
      <c r="B774" s="99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99"/>
    </row>
    <row r="775" ht="15.75" customHeight="1">
      <c r="A775" s="99"/>
      <c r="B775" s="99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99"/>
    </row>
    <row r="776" ht="15.75" customHeight="1">
      <c r="A776" s="99"/>
      <c r="B776" s="99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99"/>
    </row>
    <row r="777" ht="15.75" customHeight="1">
      <c r="A777" s="99"/>
      <c r="B777" s="99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99"/>
    </row>
    <row r="778" ht="15.75" customHeight="1">
      <c r="A778" s="99"/>
      <c r="B778" s="99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99"/>
    </row>
    <row r="779" ht="15.75" customHeight="1">
      <c r="A779" s="99"/>
      <c r="B779" s="99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99"/>
    </row>
    <row r="780" ht="15.75" customHeight="1">
      <c r="A780" s="99"/>
      <c r="B780" s="99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99"/>
    </row>
    <row r="781" ht="15.75" customHeight="1">
      <c r="A781" s="99"/>
      <c r="B781" s="99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99"/>
    </row>
    <row r="782" ht="15.75" customHeight="1">
      <c r="A782" s="99"/>
      <c r="B782" s="99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99"/>
    </row>
    <row r="783" ht="15.75" customHeight="1">
      <c r="A783" s="99"/>
      <c r="B783" s="99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99"/>
    </row>
    <row r="784" ht="15.75" customHeight="1">
      <c r="A784" s="99"/>
      <c r="B784" s="99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99"/>
    </row>
    <row r="785" ht="15.75" customHeight="1">
      <c r="A785" s="99"/>
      <c r="B785" s="99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99"/>
    </row>
    <row r="786" ht="15.75" customHeight="1">
      <c r="A786" s="99"/>
      <c r="B786" s="99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99"/>
    </row>
    <row r="787" ht="15.75" customHeight="1">
      <c r="A787" s="99"/>
      <c r="B787" s="99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99"/>
    </row>
    <row r="788" ht="15.75" customHeight="1">
      <c r="A788" s="99"/>
      <c r="B788" s="99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99"/>
    </row>
    <row r="789" ht="15.75" customHeight="1">
      <c r="A789" s="99"/>
      <c r="B789" s="99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99"/>
    </row>
    <row r="790" ht="15.75" customHeight="1">
      <c r="A790" s="99"/>
      <c r="B790" s="99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99"/>
    </row>
    <row r="791" ht="15.75" customHeight="1">
      <c r="A791" s="99"/>
      <c r="B791" s="99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99"/>
    </row>
    <row r="792" ht="15.75" customHeight="1">
      <c r="A792" s="99"/>
      <c r="B792" s="99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99"/>
    </row>
    <row r="793" ht="15.75" customHeight="1">
      <c r="A793" s="99"/>
      <c r="B793" s="99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99"/>
    </row>
    <row r="794" ht="15.75" customHeight="1">
      <c r="A794" s="99"/>
      <c r="B794" s="99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99"/>
    </row>
    <row r="795" ht="15.75" customHeight="1">
      <c r="A795" s="99"/>
      <c r="B795" s="99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99"/>
    </row>
    <row r="796" ht="15.75" customHeight="1">
      <c r="A796" s="99"/>
      <c r="B796" s="99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99"/>
    </row>
    <row r="797" ht="15.75" customHeight="1">
      <c r="A797" s="99"/>
      <c r="B797" s="99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99"/>
    </row>
    <row r="798" ht="15.75" customHeight="1">
      <c r="A798" s="99"/>
      <c r="B798" s="99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99"/>
    </row>
    <row r="799" ht="15.75" customHeight="1">
      <c r="A799" s="99"/>
      <c r="B799" s="99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99"/>
    </row>
    <row r="800" ht="15.75" customHeight="1">
      <c r="A800" s="99"/>
      <c r="B800" s="99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99"/>
    </row>
    <row r="801" ht="15.75" customHeight="1">
      <c r="A801" s="99"/>
      <c r="B801" s="99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99"/>
    </row>
    <row r="802" ht="15.75" customHeight="1">
      <c r="A802" s="99"/>
      <c r="B802" s="99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99"/>
    </row>
    <row r="803" ht="15.75" customHeight="1">
      <c r="A803" s="99"/>
      <c r="B803" s="99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99"/>
    </row>
    <row r="804" ht="15.75" customHeight="1">
      <c r="A804" s="99"/>
      <c r="B804" s="99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99"/>
    </row>
    <row r="805" ht="15.75" customHeight="1">
      <c r="A805" s="99"/>
      <c r="B805" s="99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99"/>
    </row>
    <row r="806" ht="15.75" customHeight="1">
      <c r="A806" s="99"/>
      <c r="B806" s="99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99"/>
    </row>
    <row r="807" ht="15.75" customHeight="1">
      <c r="A807" s="99"/>
      <c r="B807" s="99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99"/>
    </row>
    <row r="808" ht="15.75" customHeight="1">
      <c r="A808" s="99"/>
      <c r="B808" s="99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99"/>
    </row>
    <row r="809" ht="15.75" customHeight="1">
      <c r="A809" s="99"/>
      <c r="B809" s="99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99"/>
    </row>
    <row r="810" ht="15.75" customHeight="1">
      <c r="A810" s="99"/>
      <c r="B810" s="99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99"/>
    </row>
    <row r="811" ht="15.75" customHeight="1">
      <c r="A811" s="99"/>
      <c r="B811" s="99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99"/>
    </row>
    <row r="812" ht="15.75" customHeight="1">
      <c r="A812" s="99"/>
      <c r="B812" s="99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99"/>
    </row>
    <row r="813" ht="15.75" customHeight="1">
      <c r="A813" s="99"/>
      <c r="B813" s="99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99"/>
    </row>
    <row r="814" ht="15.75" customHeight="1">
      <c r="A814" s="99"/>
      <c r="B814" s="99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99"/>
    </row>
    <row r="815" ht="15.75" customHeight="1">
      <c r="A815" s="99"/>
      <c r="B815" s="99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99"/>
    </row>
    <row r="816" ht="15.75" customHeight="1">
      <c r="A816" s="99"/>
      <c r="B816" s="99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99"/>
    </row>
    <row r="817" ht="15.75" customHeight="1">
      <c r="A817" s="99"/>
      <c r="B817" s="99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99"/>
    </row>
    <row r="818" ht="15.75" customHeight="1">
      <c r="A818" s="99"/>
      <c r="B818" s="99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99"/>
    </row>
    <row r="819" ht="15.75" customHeight="1">
      <c r="A819" s="99"/>
      <c r="B819" s="99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99"/>
    </row>
    <row r="820" ht="15.75" customHeight="1">
      <c r="A820" s="99"/>
      <c r="B820" s="99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99"/>
    </row>
    <row r="821" ht="15.75" customHeight="1">
      <c r="A821" s="99"/>
      <c r="B821" s="99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99"/>
    </row>
    <row r="822" ht="15.75" customHeight="1">
      <c r="A822" s="99"/>
      <c r="B822" s="99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99"/>
    </row>
    <row r="823" ht="15.75" customHeight="1">
      <c r="A823" s="99"/>
      <c r="B823" s="99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99"/>
    </row>
    <row r="824" ht="15.75" customHeight="1">
      <c r="A824" s="99"/>
      <c r="B824" s="99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99"/>
    </row>
    <row r="825" ht="15.75" customHeight="1">
      <c r="A825" s="99"/>
      <c r="B825" s="99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99"/>
    </row>
    <row r="826" ht="15.75" customHeight="1">
      <c r="A826" s="99"/>
      <c r="B826" s="99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99"/>
    </row>
    <row r="827" ht="15.75" customHeight="1">
      <c r="A827" s="99"/>
      <c r="B827" s="99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99"/>
    </row>
    <row r="828" ht="15.75" customHeight="1">
      <c r="A828" s="99"/>
      <c r="B828" s="99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99"/>
    </row>
    <row r="829" ht="15.75" customHeight="1">
      <c r="A829" s="99"/>
      <c r="B829" s="99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99"/>
    </row>
    <row r="830" ht="15.75" customHeight="1">
      <c r="A830" s="99"/>
      <c r="B830" s="99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99"/>
    </row>
    <row r="831" ht="15.75" customHeight="1">
      <c r="A831" s="99"/>
      <c r="B831" s="99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99"/>
    </row>
    <row r="832" ht="15.75" customHeight="1">
      <c r="A832" s="99"/>
      <c r="B832" s="99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99"/>
    </row>
    <row r="833" ht="15.75" customHeight="1">
      <c r="A833" s="99"/>
      <c r="B833" s="99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99"/>
    </row>
    <row r="834" ht="15.75" customHeight="1">
      <c r="A834" s="99"/>
      <c r="B834" s="99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99"/>
    </row>
    <row r="835" ht="15.75" customHeight="1">
      <c r="A835" s="99"/>
      <c r="B835" s="99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99"/>
    </row>
    <row r="836" ht="15.75" customHeight="1">
      <c r="A836" s="99"/>
      <c r="B836" s="99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99"/>
    </row>
    <row r="837" ht="15.75" customHeight="1">
      <c r="A837" s="99"/>
      <c r="B837" s="99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99"/>
    </row>
    <row r="838" ht="15.75" customHeight="1">
      <c r="A838" s="99"/>
      <c r="B838" s="99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99"/>
    </row>
    <row r="839" ht="15.75" customHeight="1">
      <c r="A839" s="99"/>
      <c r="B839" s="99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99"/>
    </row>
    <row r="840" ht="15.75" customHeight="1">
      <c r="A840" s="99"/>
      <c r="B840" s="99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99"/>
    </row>
    <row r="841" ht="15.75" customHeight="1">
      <c r="A841" s="99"/>
      <c r="B841" s="99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99"/>
    </row>
    <row r="842" ht="15.75" customHeight="1">
      <c r="A842" s="99"/>
      <c r="B842" s="99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99"/>
    </row>
    <row r="843" ht="15.75" customHeight="1">
      <c r="A843" s="99"/>
      <c r="B843" s="99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99"/>
    </row>
    <row r="844" ht="15.75" customHeight="1">
      <c r="A844" s="99"/>
      <c r="B844" s="99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99"/>
    </row>
    <row r="845" ht="15.75" customHeight="1">
      <c r="A845" s="99"/>
      <c r="B845" s="99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99"/>
    </row>
    <row r="846" ht="15.75" customHeight="1">
      <c r="A846" s="99"/>
      <c r="B846" s="99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99"/>
    </row>
    <row r="847" ht="15.75" customHeight="1">
      <c r="A847" s="99"/>
      <c r="B847" s="99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99"/>
    </row>
    <row r="848" ht="15.75" customHeight="1">
      <c r="A848" s="99"/>
      <c r="B848" s="99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99"/>
    </row>
    <row r="849" ht="15.75" customHeight="1">
      <c r="A849" s="99"/>
      <c r="B849" s="99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99"/>
    </row>
    <row r="850" ht="15.75" customHeight="1">
      <c r="A850" s="99"/>
      <c r="B850" s="99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99"/>
    </row>
    <row r="851" ht="15.75" customHeight="1">
      <c r="A851" s="99"/>
      <c r="B851" s="99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99"/>
    </row>
    <row r="852" ht="15.75" customHeight="1">
      <c r="A852" s="99"/>
      <c r="B852" s="99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99"/>
    </row>
    <row r="853" ht="15.75" customHeight="1">
      <c r="A853" s="99"/>
      <c r="B853" s="99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99"/>
    </row>
    <row r="854" ht="15.75" customHeight="1">
      <c r="A854" s="99"/>
      <c r="B854" s="99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99"/>
    </row>
    <row r="855" ht="15.75" customHeight="1">
      <c r="A855" s="99"/>
      <c r="B855" s="99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99"/>
    </row>
    <row r="856" ht="15.75" customHeight="1">
      <c r="A856" s="99"/>
      <c r="B856" s="99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99"/>
    </row>
    <row r="857" ht="15.75" customHeight="1">
      <c r="A857" s="99"/>
      <c r="B857" s="99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99"/>
    </row>
    <row r="858" ht="15.75" customHeight="1">
      <c r="A858" s="99"/>
      <c r="B858" s="99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99"/>
    </row>
    <row r="859" ht="15.75" customHeight="1">
      <c r="A859" s="99"/>
      <c r="B859" s="99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99"/>
    </row>
    <row r="860" ht="15.75" customHeight="1">
      <c r="A860" s="99"/>
      <c r="B860" s="99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99"/>
    </row>
    <row r="861" ht="15.75" customHeight="1">
      <c r="A861" s="99"/>
      <c r="B861" s="99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99"/>
    </row>
    <row r="862" ht="15.75" customHeight="1">
      <c r="A862" s="99"/>
      <c r="B862" s="99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99"/>
    </row>
    <row r="863" ht="15.75" customHeight="1">
      <c r="A863" s="99"/>
      <c r="B863" s="99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99"/>
    </row>
    <row r="864" ht="15.75" customHeight="1">
      <c r="A864" s="99"/>
      <c r="B864" s="99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99"/>
    </row>
    <row r="865" ht="15.75" customHeight="1">
      <c r="A865" s="99"/>
      <c r="B865" s="99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99"/>
    </row>
    <row r="866" ht="15.75" customHeight="1">
      <c r="A866" s="99"/>
      <c r="B866" s="99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99"/>
    </row>
    <row r="867" ht="15.75" customHeight="1">
      <c r="A867" s="99"/>
      <c r="B867" s="99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99"/>
    </row>
    <row r="868" ht="15.75" customHeight="1">
      <c r="A868" s="99"/>
      <c r="B868" s="99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99"/>
    </row>
    <row r="869" ht="15.75" customHeight="1">
      <c r="A869" s="99"/>
      <c r="B869" s="99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99"/>
    </row>
    <row r="870" ht="15.75" customHeight="1">
      <c r="A870" s="99"/>
      <c r="B870" s="99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99"/>
    </row>
    <row r="871" ht="15.75" customHeight="1">
      <c r="A871" s="99"/>
      <c r="B871" s="99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99"/>
    </row>
    <row r="872" ht="15.75" customHeight="1">
      <c r="A872" s="99"/>
      <c r="B872" s="99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99"/>
    </row>
    <row r="873" ht="15.75" customHeight="1">
      <c r="A873" s="99"/>
      <c r="B873" s="99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99"/>
    </row>
    <row r="874" ht="15.75" customHeight="1">
      <c r="A874" s="99"/>
      <c r="B874" s="99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99"/>
    </row>
    <row r="875" ht="15.75" customHeight="1">
      <c r="A875" s="99"/>
      <c r="B875" s="99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99"/>
    </row>
    <row r="876" ht="15.75" customHeight="1">
      <c r="A876" s="99"/>
      <c r="B876" s="99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99"/>
    </row>
    <row r="877" ht="15.75" customHeight="1">
      <c r="A877" s="99"/>
      <c r="B877" s="99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99"/>
    </row>
    <row r="878" ht="15.75" customHeight="1">
      <c r="A878" s="99"/>
      <c r="B878" s="99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99"/>
    </row>
    <row r="879" ht="15.75" customHeight="1">
      <c r="A879" s="99"/>
      <c r="B879" s="99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99"/>
    </row>
    <row r="880" ht="15.75" customHeight="1">
      <c r="A880" s="99"/>
      <c r="B880" s="99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99"/>
    </row>
    <row r="881" ht="15.75" customHeight="1">
      <c r="A881" s="99"/>
      <c r="B881" s="99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99"/>
    </row>
    <row r="882" ht="15.75" customHeight="1">
      <c r="A882" s="99"/>
      <c r="B882" s="99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99"/>
    </row>
    <row r="883" ht="15.75" customHeight="1">
      <c r="A883" s="99"/>
      <c r="B883" s="99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99"/>
    </row>
    <row r="884" ht="15.75" customHeight="1">
      <c r="A884" s="99"/>
      <c r="B884" s="99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99"/>
    </row>
    <row r="885" ht="15.75" customHeight="1">
      <c r="A885" s="99"/>
      <c r="B885" s="99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99"/>
    </row>
    <row r="886" ht="15.75" customHeight="1">
      <c r="A886" s="99"/>
      <c r="B886" s="99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99"/>
    </row>
    <row r="887" ht="15.75" customHeight="1">
      <c r="A887" s="99"/>
      <c r="B887" s="99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99"/>
    </row>
    <row r="888" ht="15.75" customHeight="1">
      <c r="A888" s="99"/>
      <c r="B888" s="99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99"/>
    </row>
    <row r="889" ht="15.75" customHeight="1">
      <c r="A889" s="99"/>
      <c r="B889" s="99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99"/>
    </row>
    <row r="890" ht="15.75" customHeight="1">
      <c r="A890" s="99"/>
      <c r="B890" s="99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99"/>
    </row>
    <row r="891" ht="15.75" customHeight="1">
      <c r="A891" s="99"/>
      <c r="B891" s="99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99"/>
    </row>
    <row r="892" ht="15.75" customHeight="1">
      <c r="A892" s="99"/>
      <c r="B892" s="99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99"/>
    </row>
    <row r="893" ht="15.75" customHeight="1">
      <c r="A893" s="99"/>
      <c r="B893" s="99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99"/>
    </row>
    <row r="894" ht="15.75" customHeight="1">
      <c r="A894" s="99"/>
      <c r="B894" s="99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99"/>
    </row>
    <row r="895" ht="15.75" customHeight="1">
      <c r="A895" s="99"/>
      <c r="B895" s="99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99"/>
    </row>
    <row r="896" ht="15.75" customHeight="1">
      <c r="A896" s="99"/>
      <c r="B896" s="99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99"/>
    </row>
    <row r="897" ht="15.75" customHeight="1">
      <c r="A897" s="99"/>
      <c r="B897" s="99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99"/>
    </row>
    <row r="898" ht="15.75" customHeight="1">
      <c r="A898" s="99"/>
      <c r="B898" s="99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99"/>
    </row>
    <row r="899" ht="15.75" customHeight="1">
      <c r="A899" s="99"/>
      <c r="B899" s="99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99"/>
    </row>
    <row r="900" ht="15.75" customHeight="1">
      <c r="A900" s="99"/>
      <c r="B900" s="99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99"/>
    </row>
    <row r="901" ht="15.75" customHeight="1">
      <c r="A901" s="99"/>
      <c r="B901" s="99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99"/>
    </row>
    <row r="902" ht="15.75" customHeight="1">
      <c r="A902" s="99"/>
      <c r="B902" s="99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99"/>
    </row>
    <row r="903" ht="15.75" customHeight="1">
      <c r="A903" s="99"/>
      <c r="B903" s="99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99"/>
    </row>
    <row r="904" ht="15.75" customHeight="1">
      <c r="A904" s="99"/>
      <c r="B904" s="99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99"/>
    </row>
    <row r="905" ht="15.75" customHeight="1">
      <c r="A905" s="99"/>
      <c r="B905" s="99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99"/>
    </row>
    <row r="906" ht="15.75" customHeight="1">
      <c r="A906" s="99"/>
      <c r="B906" s="99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99"/>
    </row>
    <row r="907" ht="15.75" customHeight="1">
      <c r="A907" s="99"/>
      <c r="B907" s="99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99"/>
    </row>
    <row r="908" ht="15.75" customHeight="1">
      <c r="A908" s="99"/>
      <c r="B908" s="99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99"/>
    </row>
    <row r="909" ht="15.75" customHeight="1">
      <c r="A909" s="99"/>
      <c r="B909" s="99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99"/>
    </row>
    <row r="910" ht="15.75" customHeight="1">
      <c r="A910" s="99"/>
      <c r="B910" s="99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99"/>
    </row>
    <row r="911" ht="15.75" customHeight="1">
      <c r="A911" s="99"/>
      <c r="B911" s="99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99"/>
    </row>
    <row r="912" ht="15.75" customHeight="1">
      <c r="A912" s="99"/>
      <c r="B912" s="99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99"/>
    </row>
    <row r="913" ht="15.75" customHeight="1">
      <c r="A913" s="99"/>
      <c r="B913" s="99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99"/>
    </row>
    <row r="914" ht="15.75" customHeight="1">
      <c r="A914" s="99"/>
      <c r="B914" s="99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99"/>
    </row>
    <row r="915" ht="15.75" customHeight="1">
      <c r="A915" s="99"/>
      <c r="B915" s="99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99"/>
    </row>
    <row r="916" ht="15.75" customHeight="1">
      <c r="A916" s="99"/>
      <c r="B916" s="99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99"/>
    </row>
    <row r="917" ht="15.75" customHeight="1">
      <c r="A917" s="99"/>
      <c r="B917" s="99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99"/>
    </row>
    <row r="918" ht="15.75" customHeight="1">
      <c r="A918" s="99"/>
      <c r="B918" s="99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99"/>
    </row>
    <row r="919" ht="15.75" customHeight="1">
      <c r="A919" s="99"/>
      <c r="B919" s="99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99"/>
    </row>
    <row r="920" ht="15.75" customHeight="1">
      <c r="A920" s="99"/>
      <c r="B920" s="99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99"/>
    </row>
    <row r="921" ht="15.75" customHeight="1">
      <c r="A921" s="99"/>
      <c r="B921" s="99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99"/>
    </row>
    <row r="922" ht="15.75" customHeight="1">
      <c r="A922" s="99"/>
      <c r="B922" s="99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99"/>
    </row>
    <row r="923" ht="15.75" customHeight="1">
      <c r="A923" s="99"/>
      <c r="B923" s="99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99"/>
    </row>
    <row r="924" ht="15.75" customHeight="1">
      <c r="A924" s="99"/>
      <c r="B924" s="99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99"/>
    </row>
    <row r="925" ht="15.75" customHeight="1">
      <c r="A925" s="99"/>
      <c r="B925" s="99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99"/>
    </row>
    <row r="926" ht="15.75" customHeight="1">
      <c r="A926" s="99"/>
      <c r="B926" s="99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99"/>
    </row>
    <row r="927" ht="15.75" customHeight="1">
      <c r="A927" s="99"/>
      <c r="B927" s="99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99"/>
    </row>
    <row r="928" ht="15.75" customHeight="1">
      <c r="A928" s="99"/>
      <c r="B928" s="99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99"/>
    </row>
    <row r="929" ht="15.75" customHeight="1">
      <c r="A929" s="99"/>
      <c r="B929" s="99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99"/>
    </row>
    <row r="930" ht="15.75" customHeight="1">
      <c r="A930" s="99"/>
      <c r="B930" s="99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99"/>
    </row>
    <row r="931" ht="15.75" customHeight="1">
      <c r="A931" s="99"/>
      <c r="B931" s="99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99"/>
    </row>
    <row r="932" ht="15.75" customHeight="1">
      <c r="A932" s="99"/>
      <c r="B932" s="99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99"/>
    </row>
    <row r="933" ht="15.75" customHeight="1">
      <c r="A933" s="99"/>
      <c r="B933" s="99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99"/>
    </row>
    <row r="934" ht="15.75" customHeight="1">
      <c r="A934" s="99"/>
      <c r="B934" s="99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99"/>
    </row>
    <row r="935" ht="15.75" customHeight="1">
      <c r="A935" s="99"/>
      <c r="B935" s="99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99"/>
    </row>
    <row r="936" ht="15.75" customHeight="1">
      <c r="A936" s="99"/>
      <c r="B936" s="99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99"/>
    </row>
    <row r="937" ht="15.75" customHeight="1">
      <c r="A937" s="99"/>
      <c r="B937" s="99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99"/>
    </row>
    <row r="938" ht="15.75" customHeight="1">
      <c r="A938" s="99"/>
      <c r="B938" s="99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99"/>
    </row>
    <row r="939" ht="15.75" customHeight="1">
      <c r="A939" s="99"/>
      <c r="B939" s="99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99"/>
    </row>
    <row r="940" ht="15.75" customHeight="1">
      <c r="A940" s="99"/>
      <c r="B940" s="99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99"/>
    </row>
    <row r="941" ht="15.75" customHeight="1">
      <c r="A941" s="99"/>
      <c r="B941" s="99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99"/>
    </row>
    <row r="942" ht="15.75" customHeight="1">
      <c r="A942" s="99"/>
      <c r="B942" s="99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99"/>
    </row>
    <row r="943" ht="15.75" customHeight="1">
      <c r="A943" s="99"/>
      <c r="B943" s="99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99"/>
    </row>
    <row r="944" ht="15.75" customHeight="1">
      <c r="A944" s="99"/>
      <c r="B944" s="99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99"/>
    </row>
    <row r="945" ht="15.75" customHeight="1">
      <c r="A945" s="99"/>
      <c r="B945" s="99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99"/>
    </row>
    <row r="946" ht="15.75" customHeight="1">
      <c r="A946" s="99"/>
      <c r="B946" s="99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99"/>
    </row>
    <row r="947" ht="15.75" customHeight="1">
      <c r="A947" s="99"/>
      <c r="B947" s="99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99"/>
    </row>
    <row r="948" ht="15.75" customHeight="1">
      <c r="A948" s="99"/>
      <c r="B948" s="99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99"/>
    </row>
    <row r="949" ht="15.75" customHeight="1">
      <c r="A949" s="99"/>
      <c r="B949" s="99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99"/>
    </row>
    <row r="950" ht="15.75" customHeight="1">
      <c r="A950" s="99"/>
      <c r="B950" s="99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99"/>
    </row>
    <row r="951" ht="15.75" customHeight="1">
      <c r="A951" s="99"/>
      <c r="B951" s="99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99"/>
    </row>
    <row r="952" ht="15.75" customHeight="1">
      <c r="A952" s="99"/>
      <c r="B952" s="99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99"/>
    </row>
    <row r="953" ht="15.75" customHeight="1">
      <c r="A953" s="99"/>
      <c r="B953" s="99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99"/>
    </row>
    <row r="954" ht="15.75" customHeight="1">
      <c r="A954" s="99"/>
      <c r="B954" s="99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99"/>
    </row>
    <row r="955" ht="15.75" customHeight="1">
      <c r="A955" s="99"/>
      <c r="B955" s="99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99"/>
    </row>
    <row r="956" ht="15.75" customHeight="1">
      <c r="A956" s="99"/>
      <c r="B956" s="99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99"/>
    </row>
    <row r="957" ht="15.75" customHeight="1">
      <c r="A957" s="99"/>
      <c r="B957" s="99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99"/>
    </row>
    <row r="958" ht="15.75" customHeight="1">
      <c r="A958" s="99"/>
      <c r="B958" s="99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99"/>
    </row>
    <row r="959" ht="15.75" customHeight="1">
      <c r="A959" s="99"/>
      <c r="B959" s="99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99"/>
    </row>
    <row r="960" ht="15.75" customHeight="1">
      <c r="A960" s="99"/>
      <c r="B960" s="99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99"/>
    </row>
    <row r="961" ht="15.75" customHeight="1">
      <c r="A961" s="99"/>
      <c r="B961" s="99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99"/>
    </row>
    <row r="962" ht="15.75" customHeight="1">
      <c r="A962" s="99"/>
      <c r="B962" s="99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99"/>
    </row>
    <row r="963" ht="15.75" customHeight="1">
      <c r="A963" s="99"/>
      <c r="B963" s="99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99"/>
    </row>
    <row r="964" ht="15.75" customHeight="1">
      <c r="A964" s="99"/>
      <c r="B964" s="99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99"/>
    </row>
    <row r="965" ht="15.75" customHeight="1">
      <c r="A965" s="99"/>
      <c r="B965" s="99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99"/>
    </row>
    <row r="966" ht="15.75" customHeight="1">
      <c r="A966" s="99"/>
      <c r="B966" s="99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99"/>
    </row>
    <row r="967" ht="15.75" customHeight="1">
      <c r="A967" s="99"/>
      <c r="B967" s="99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99"/>
    </row>
    <row r="968" ht="15.75" customHeight="1">
      <c r="A968" s="99"/>
      <c r="B968" s="99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99"/>
    </row>
    <row r="969" ht="15.75" customHeight="1">
      <c r="A969" s="99"/>
      <c r="B969" s="99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99"/>
    </row>
    <row r="970" ht="15.75" customHeight="1">
      <c r="A970" s="99"/>
      <c r="B970" s="99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99"/>
    </row>
    <row r="971" ht="15.75" customHeight="1">
      <c r="A971" s="99"/>
      <c r="B971" s="99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99"/>
    </row>
    <row r="972" ht="15.75" customHeight="1">
      <c r="A972" s="99"/>
      <c r="B972" s="99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99"/>
    </row>
    <row r="973" ht="15.75" customHeight="1">
      <c r="A973" s="99"/>
      <c r="B973" s="99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99"/>
    </row>
    <row r="974" ht="15.75" customHeight="1">
      <c r="A974" s="99"/>
      <c r="B974" s="99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99"/>
    </row>
    <row r="975" ht="15.75" customHeight="1">
      <c r="A975" s="99"/>
      <c r="B975" s="99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99"/>
    </row>
    <row r="976" ht="15.75" customHeight="1">
      <c r="A976" s="99"/>
      <c r="B976" s="99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99"/>
    </row>
    <row r="977" ht="15.75" customHeight="1">
      <c r="A977" s="99"/>
      <c r="B977" s="99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99"/>
    </row>
    <row r="978" ht="15.75" customHeight="1">
      <c r="A978" s="99"/>
      <c r="B978" s="99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99"/>
    </row>
    <row r="979" ht="15.75" customHeight="1">
      <c r="A979" s="99"/>
      <c r="B979" s="99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99"/>
    </row>
    <row r="980" ht="15.75" customHeight="1">
      <c r="A980" s="99"/>
      <c r="B980" s="99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99"/>
    </row>
    <row r="981" ht="15.75" customHeight="1">
      <c r="A981" s="99"/>
      <c r="B981" s="99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99"/>
    </row>
    <row r="982" ht="15.75" customHeight="1">
      <c r="A982" s="99"/>
      <c r="B982" s="99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99"/>
    </row>
    <row r="983" ht="15.75" customHeight="1">
      <c r="A983" s="99"/>
      <c r="B983" s="99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99"/>
    </row>
    <row r="984" ht="15.75" customHeight="1">
      <c r="A984" s="99"/>
      <c r="B984" s="99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99"/>
    </row>
    <row r="985" ht="15.75" customHeight="1">
      <c r="A985" s="99"/>
      <c r="B985" s="99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99"/>
    </row>
    <row r="986" ht="15.75" customHeight="1">
      <c r="A986" s="99"/>
      <c r="B986" s="99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99"/>
    </row>
    <row r="987" ht="15.75" customHeight="1">
      <c r="A987" s="99"/>
      <c r="B987" s="99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99"/>
    </row>
    <row r="988" ht="15.75" customHeight="1">
      <c r="A988" s="99"/>
      <c r="B988" s="99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99"/>
    </row>
    <row r="989" ht="15.75" customHeight="1">
      <c r="A989" s="99"/>
      <c r="B989" s="99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99"/>
    </row>
    <row r="990" ht="15.75" customHeight="1">
      <c r="A990" s="99"/>
      <c r="B990" s="99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99"/>
    </row>
    <row r="991" ht="15.75" customHeight="1">
      <c r="A991" s="99"/>
      <c r="B991" s="99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99"/>
    </row>
    <row r="992" ht="15.75" customHeight="1">
      <c r="A992" s="99"/>
      <c r="B992" s="99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99"/>
    </row>
    <row r="993" ht="15.75" customHeight="1">
      <c r="A993" s="99"/>
      <c r="B993" s="99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99"/>
    </row>
    <row r="994" ht="15.75" customHeight="1">
      <c r="A994" s="99"/>
      <c r="B994" s="99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99"/>
    </row>
    <row r="995" ht="15.75" customHeight="1">
      <c r="A995" s="99"/>
      <c r="B995" s="99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99"/>
    </row>
    <row r="996" ht="15.75" customHeight="1">
      <c r="A996" s="99"/>
      <c r="B996" s="99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99"/>
    </row>
    <row r="997" ht="15.75" customHeight="1">
      <c r="A997" s="99"/>
      <c r="B997" s="99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99"/>
    </row>
    <row r="998" ht="15.75" customHeight="1">
      <c r="A998" s="99"/>
      <c r="B998" s="99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99"/>
    </row>
    <row r="999" ht="15.75" customHeight="1">
      <c r="A999" s="99"/>
      <c r="B999" s="99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99"/>
    </row>
    <row r="1000" ht="15.75" customHeight="1">
      <c r="A1000" s="99"/>
      <c r="B1000" s="99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99"/>
    </row>
  </sheetData>
  <mergeCells count="20">
    <mergeCell ref="A2:S2"/>
    <mergeCell ref="T2:W2"/>
    <mergeCell ref="X2:Z2"/>
    <mergeCell ref="AA2:AD2"/>
    <mergeCell ref="G3:L3"/>
    <mergeCell ref="P3:S3"/>
    <mergeCell ref="T3:W3"/>
    <mergeCell ref="A38:M38"/>
    <mergeCell ref="A39:M39"/>
    <mergeCell ref="O39:S39"/>
    <mergeCell ref="T39:W39"/>
    <mergeCell ref="X39:Z39"/>
    <mergeCell ref="AA39:AD39"/>
    <mergeCell ref="X3:Z3"/>
    <mergeCell ref="AA3:AD3"/>
    <mergeCell ref="P37:S37"/>
    <mergeCell ref="T38:U38"/>
    <mergeCell ref="V38:W38"/>
    <mergeCell ref="X38:Z38"/>
    <mergeCell ref="AA38:AD38"/>
  </mergeCells>
  <printOptions horizontalCentered="1" verticalCentered="1"/>
  <pageMargins bottom="0.0" footer="0.0" header="0.0" left="0.0" right="0.0" top="0.0"/>
  <pageSetup paperSize="9" scale="57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1" t="s">
        <v>1</v>
      </c>
      <c r="U1" s="2"/>
      <c r="V1" s="2"/>
      <c r="W1" s="2"/>
      <c r="X1" s="4" t="s">
        <v>2</v>
      </c>
      <c r="Y1" s="2"/>
      <c r="Z1" s="3"/>
      <c r="AA1" s="5" t="s">
        <v>3</v>
      </c>
      <c r="AB1" s="2"/>
      <c r="AC1" s="2"/>
      <c r="AD1" s="3"/>
    </row>
    <row r="2">
      <c r="A2" s="6"/>
      <c r="B2" s="6"/>
      <c r="C2" s="6"/>
      <c r="D2" s="6"/>
      <c r="E2" s="6"/>
      <c r="F2" s="6"/>
      <c r="G2" s="7"/>
      <c r="H2" s="2"/>
      <c r="I2" s="2"/>
      <c r="J2" s="2"/>
      <c r="K2" s="2"/>
      <c r="L2" s="2"/>
      <c r="M2" s="6"/>
      <c r="N2" s="8"/>
      <c r="O2" s="8"/>
      <c r="P2" s="9" t="s">
        <v>4</v>
      </c>
      <c r="Q2" s="10"/>
      <c r="R2" s="10"/>
      <c r="S2" s="11"/>
      <c r="T2" s="7"/>
      <c r="U2" s="2"/>
      <c r="V2" s="2"/>
      <c r="W2" s="2"/>
      <c r="X2" s="12"/>
      <c r="Y2" s="2"/>
      <c r="Z2" s="3"/>
      <c r="AA2" s="12"/>
      <c r="AB2" s="2"/>
      <c r="AC2" s="2"/>
      <c r="AD2" s="3"/>
    </row>
    <row r="3">
      <c r="A3" s="13" t="s">
        <v>5</v>
      </c>
      <c r="B3" s="14" t="s">
        <v>6</v>
      </c>
      <c r="C3" s="15" t="s">
        <v>7</v>
      </c>
      <c r="D3" s="16" t="s">
        <v>8</v>
      </c>
      <c r="E3" s="17" t="s">
        <v>9</v>
      </c>
      <c r="F3" s="18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20" t="s">
        <v>17</v>
      </c>
      <c r="N3" s="21" t="s">
        <v>18</v>
      </c>
      <c r="O3" s="21" t="s">
        <v>19</v>
      </c>
      <c r="P3" s="22" t="s">
        <v>20</v>
      </c>
      <c r="Q3" s="22" t="s">
        <v>21</v>
      </c>
      <c r="R3" s="22" t="s">
        <v>22</v>
      </c>
      <c r="S3" s="22" t="s">
        <v>23</v>
      </c>
      <c r="T3" s="23" t="s">
        <v>24</v>
      </c>
      <c r="U3" s="24" t="s">
        <v>25</v>
      </c>
      <c r="V3" s="25" t="s">
        <v>26</v>
      </c>
      <c r="W3" s="26" t="s">
        <v>27</v>
      </c>
      <c r="X3" s="27" t="s">
        <v>28</v>
      </c>
      <c r="Y3" s="28" t="s">
        <v>29</v>
      </c>
      <c r="Z3" s="29" t="s">
        <v>23</v>
      </c>
      <c r="AA3" s="30" t="s">
        <v>30</v>
      </c>
      <c r="AB3" s="31" t="s">
        <v>31</v>
      </c>
      <c r="AC3" s="32" t="s">
        <v>32</v>
      </c>
      <c r="AD3" s="33" t="s">
        <v>23</v>
      </c>
    </row>
    <row r="4">
      <c r="A4" s="34">
        <v>1.0</v>
      </c>
      <c r="B4" s="35">
        <f t="shared" ref="B4:B34" si="1">D4-C4</f>
        <v>52</v>
      </c>
      <c r="C4" s="36">
        <v>22.0</v>
      </c>
      <c r="D4" s="37">
        <v>74.0</v>
      </c>
      <c r="E4" s="38">
        <v>3.0</v>
      </c>
      <c r="F4" s="39">
        <v>2.0</v>
      </c>
      <c r="G4" s="40">
        <v>1.0</v>
      </c>
      <c r="H4" s="40">
        <v>3.0</v>
      </c>
      <c r="I4" s="40">
        <v>6.0</v>
      </c>
      <c r="J4" s="40">
        <v>0.0</v>
      </c>
      <c r="K4" s="40">
        <v>0.0</v>
      </c>
      <c r="L4" s="40">
        <v>0.0</v>
      </c>
      <c r="M4" s="37">
        <f t="shared" ref="M4:M34" si="2">D4</f>
        <v>74</v>
      </c>
      <c r="N4" s="41">
        <v>18.0</v>
      </c>
      <c r="O4" s="41">
        <v>0.0</v>
      </c>
      <c r="P4" s="41">
        <v>0.0</v>
      </c>
      <c r="Q4" s="41">
        <v>0.0</v>
      </c>
      <c r="R4" s="41">
        <v>0.0</v>
      </c>
      <c r="S4" s="42">
        <v>0.0</v>
      </c>
      <c r="T4" s="43">
        <v>8.0</v>
      </c>
      <c r="U4" s="44">
        <v>39.0</v>
      </c>
      <c r="V4" s="45">
        <v>27.0</v>
      </c>
      <c r="W4" s="45">
        <v>0.0</v>
      </c>
      <c r="X4" s="46">
        <v>4.0</v>
      </c>
      <c r="Y4" s="47">
        <v>3.0</v>
      </c>
      <c r="Z4" s="48">
        <v>1.0</v>
      </c>
      <c r="AA4" s="49">
        <v>4.0</v>
      </c>
      <c r="AB4" s="50">
        <v>0.0</v>
      </c>
      <c r="AC4" s="51">
        <v>0.0</v>
      </c>
      <c r="AD4" s="52">
        <v>0.0</v>
      </c>
    </row>
    <row r="5">
      <c r="A5" s="34">
        <v>2.0</v>
      </c>
      <c r="B5" s="35">
        <f t="shared" si="1"/>
        <v>61</v>
      </c>
      <c r="C5" s="36">
        <v>32.0</v>
      </c>
      <c r="D5" s="37">
        <v>93.0</v>
      </c>
      <c r="E5" s="38">
        <v>4.0</v>
      </c>
      <c r="F5" s="39">
        <v>1.0</v>
      </c>
      <c r="G5" s="40">
        <v>1.0</v>
      </c>
      <c r="H5" s="40">
        <v>2.0</v>
      </c>
      <c r="I5" s="40">
        <v>3.0</v>
      </c>
      <c r="J5" s="40">
        <v>1.0</v>
      </c>
      <c r="K5" s="40">
        <v>0.0</v>
      </c>
      <c r="L5" s="40">
        <v>0.0</v>
      </c>
      <c r="M5" s="37">
        <f t="shared" si="2"/>
        <v>93</v>
      </c>
      <c r="N5" s="41">
        <v>35.0</v>
      </c>
      <c r="O5" s="41">
        <v>1.0</v>
      </c>
      <c r="P5" s="41">
        <v>0.0</v>
      </c>
      <c r="Q5" s="41">
        <v>0.0</v>
      </c>
      <c r="R5" s="41">
        <v>0.0</v>
      </c>
      <c r="S5" s="42">
        <v>0.0</v>
      </c>
      <c r="T5" s="43">
        <v>4.0</v>
      </c>
      <c r="U5" s="44">
        <v>54.0</v>
      </c>
      <c r="V5" s="45">
        <v>35.0</v>
      </c>
      <c r="W5" s="45">
        <v>0.0</v>
      </c>
      <c r="X5" s="46">
        <v>10.0</v>
      </c>
      <c r="Y5" s="47">
        <v>7.0</v>
      </c>
      <c r="Z5" s="48">
        <v>0.0</v>
      </c>
      <c r="AA5" s="49">
        <v>6.0</v>
      </c>
      <c r="AB5" s="50">
        <v>0.0</v>
      </c>
      <c r="AC5" s="51">
        <v>0.0</v>
      </c>
      <c r="AD5" s="52">
        <v>0.0</v>
      </c>
    </row>
    <row r="6">
      <c r="A6" s="34">
        <v>3.0</v>
      </c>
      <c r="B6" s="35">
        <f t="shared" si="1"/>
        <v>100</v>
      </c>
      <c r="C6" s="36">
        <v>25.0</v>
      </c>
      <c r="D6" s="37">
        <v>125.0</v>
      </c>
      <c r="E6" s="38">
        <v>7.0</v>
      </c>
      <c r="F6" s="39">
        <v>1.0</v>
      </c>
      <c r="G6" s="40">
        <v>3.0</v>
      </c>
      <c r="H6" s="40">
        <v>4.0</v>
      </c>
      <c r="I6" s="40">
        <v>2.0</v>
      </c>
      <c r="J6" s="40">
        <v>1.0</v>
      </c>
      <c r="K6" s="40">
        <v>0.0</v>
      </c>
      <c r="L6" s="40">
        <v>0.0</v>
      </c>
      <c r="M6" s="37">
        <f t="shared" si="2"/>
        <v>125</v>
      </c>
      <c r="N6" s="41">
        <v>39.0</v>
      </c>
      <c r="O6" s="41">
        <v>0.0</v>
      </c>
      <c r="P6" s="41">
        <v>0.0</v>
      </c>
      <c r="Q6" s="41">
        <v>0.0</v>
      </c>
      <c r="R6" s="41">
        <v>0.0</v>
      </c>
      <c r="S6" s="42">
        <v>0.0</v>
      </c>
      <c r="T6" s="43">
        <v>7.0</v>
      </c>
      <c r="U6" s="44">
        <v>58.0</v>
      </c>
      <c r="V6" s="45">
        <v>60.0</v>
      </c>
      <c r="W6" s="45">
        <v>0.0</v>
      </c>
      <c r="X6" s="46">
        <v>4.0</v>
      </c>
      <c r="Y6" s="47">
        <v>3.0</v>
      </c>
      <c r="Z6" s="48">
        <v>2.0</v>
      </c>
      <c r="AA6" s="49">
        <v>8.0</v>
      </c>
      <c r="AB6" s="50">
        <v>0.0</v>
      </c>
      <c r="AC6" s="51">
        <v>0.0</v>
      </c>
      <c r="AD6" s="52">
        <v>0.0</v>
      </c>
    </row>
    <row r="7">
      <c r="A7" s="34">
        <v>4.0</v>
      </c>
      <c r="B7" s="35">
        <f t="shared" si="1"/>
        <v>73</v>
      </c>
      <c r="C7" s="36">
        <v>29.0</v>
      </c>
      <c r="D7" s="37">
        <v>102.0</v>
      </c>
      <c r="E7" s="38">
        <v>3.0</v>
      </c>
      <c r="F7" s="39">
        <v>1.0</v>
      </c>
      <c r="G7" s="40">
        <v>0.0</v>
      </c>
      <c r="H7" s="40">
        <v>1.0</v>
      </c>
      <c r="I7" s="40">
        <v>1.0</v>
      </c>
      <c r="J7" s="40">
        <v>0.0</v>
      </c>
      <c r="K7" s="40">
        <v>0.0</v>
      </c>
      <c r="L7" s="40">
        <v>0.0</v>
      </c>
      <c r="M7" s="37">
        <f t="shared" si="2"/>
        <v>102</v>
      </c>
      <c r="N7" s="41">
        <v>28.0</v>
      </c>
      <c r="O7" s="41">
        <v>0.0</v>
      </c>
      <c r="P7" s="41">
        <v>0.0</v>
      </c>
      <c r="Q7" s="41">
        <v>0.0</v>
      </c>
      <c r="R7" s="41">
        <v>0.0</v>
      </c>
      <c r="S7" s="42">
        <v>0.0</v>
      </c>
      <c r="T7" s="43">
        <v>4.0</v>
      </c>
      <c r="U7" s="44">
        <v>35.0</v>
      </c>
      <c r="V7" s="45">
        <v>63.0</v>
      </c>
      <c r="W7" s="45">
        <v>0.0</v>
      </c>
      <c r="X7" s="46">
        <v>4.0</v>
      </c>
      <c r="Y7" s="47">
        <v>3.0</v>
      </c>
      <c r="Z7" s="48">
        <v>5.0</v>
      </c>
      <c r="AA7" s="49">
        <v>4.0</v>
      </c>
      <c r="AB7" s="50">
        <v>1.0</v>
      </c>
      <c r="AC7" s="51">
        <v>0.0</v>
      </c>
      <c r="AD7" s="52">
        <v>0.0</v>
      </c>
    </row>
    <row r="8">
      <c r="A8" s="34">
        <v>5.0</v>
      </c>
      <c r="B8" s="35">
        <f t="shared" si="1"/>
        <v>66</v>
      </c>
      <c r="C8" s="36">
        <v>34.0</v>
      </c>
      <c r="D8" s="37">
        <v>100.0</v>
      </c>
      <c r="E8" s="38">
        <v>1.0</v>
      </c>
      <c r="F8" s="39">
        <v>2.0</v>
      </c>
      <c r="G8" s="40">
        <v>1.0</v>
      </c>
      <c r="H8" s="40">
        <v>2.0</v>
      </c>
      <c r="I8" s="40">
        <v>1.0</v>
      </c>
      <c r="J8" s="40">
        <v>1.0</v>
      </c>
      <c r="K8" s="40">
        <v>0.0</v>
      </c>
      <c r="L8" s="40">
        <v>0.0</v>
      </c>
      <c r="M8" s="37">
        <f t="shared" si="2"/>
        <v>100</v>
      </c>
      <c r="N8" s="41">
        <v>26.0</v>
      </c>
      <c r="O8" s="41">
        <v>1.0</v>
      </c>
      <c r="P8" s="41">
        <v>0.0</v>
      </c>
      <c r="Q8" s="41">
        <v>0.0</v>
      </c>
      <c r="R8" s="41">
        <v>0.0</v>
      </c>
      <c r="S8" s="42">
        <v>0.0</v>
      </c>
      <c r="T8" s="43">
        <v>7.0</v>
      </c>
      <c r="U8" s="44">
        <v>55.0</v>
      </c>
      <c r="V8" s="45">
        <v>38.0</v>
      </c>
      <c r="W8" s="45">
        <v>0.0</v>
      </c>
      <c r="X8" s="46">
        <v>17.0</v>
      </c>
      <c r="Y8" s="47">
        <v>7.0</v>
      </c>
      <c r="Z8" s="48">
        <v>1.0</v>
      </c>
      <c r="AA8" s="49">
        <v>3.0</v>
      </c>
      <c r="AB8" s="50">
        <v>0.0</v>
      </c>
      <c r="AC8" s="51">
        <v>0.0</v>
      </c>
      <c r="AD8" s="52">
        <v>0.0</v>
      </c>
    </row>
    <row r="9">
      <c r="A9" s="34">
        <v>6.0</v>
      </c>
      <c r="B9" s="35">
        <f t="shared" si="1"/>
        <v>57</v>
      </c>
      <c r="C9" s="36">
        <v>30.0</v>
      </c>
      <c r="D9" s="37">
        <v>87.0</v>
      </c>
      <c r="E9" s="38">
        <v>5.0</v>
      </c>
      <c r="F9" s="39">
        <v>1.0</v>
      </c>
      <c r="G9" s="40">
        <v>1.0</v>
      </c>
      <c r="H9" s="40">
        <v>2.0</v>
      </c>
      <c r="I9" s="40">
        <v>2.0</v>
      </c>
      <c r="J9" s="40">
        <v>1.0</v>
      </c>
      <c r="K9" s="40">
        <v>0.0</v>
      </c>
      <c r="L9" s="40">
        <v>0.0</v>
      </c>
      <c r="M9" s="37">
        <f t="shared" si="2"/>
        <v>87</v>
      </c>
      <c r="N9" s="41">
        <v>28.0</v>
      </c>
      <c r="O9" s="41">
        <v>1.0</v>
      </c>
      <c r="P9" s="41">
        <v>0.0</v>
      </c>
      <c r="Q9" s="41">
        <v>0.0</v>
      </c>
      <c r="R9" s="41">
        <v>0.0</v>
      </c>
      <c r="S9" s="42">
        <v>0.0</v>
      </c>
      <c r="T9" s="43">
        <v>7.0</v>
      </c>
      <c r="U9" s="44">
        <v>45.0</v>
      </c>
      <c r="V9" s="45">
        <v>35.0</v>
      </c>
      <c r="W9" s="45">
        <v>0.0</v>
      </c>
      <c r="X9" s="46">
        <v>11.0</v>
      </c>
      <c r="Y9" s="47">
        <v>8.0</v>
      </c>
      <c r="Z9" s="48">
        <v>3.0</v>
      </c>
      <c r="AA9" s="49">
        <v>2.0</v>
      </c>
      <c r="AB9" s="50">
        <v>0.0</v>
      </c>
      <c r="AC9" s="51">
        <v>0.0</v>
      </c>
      <c r="AD9" s="52">
        <v>0.0</v>
      </c>
    </row>
    <row r="10">
      <c r="A10" s="34">
        <v>7.0</v>
      </c>
      <c r="B10" s="35">
        <f t="shared" si="1"/>
        <v>61</v>
      </c>
      <c r="C10" s="36">
        <v>30.0</v>
      </c>
      <c r="D10" s="37">
        <v>91.0</v>
      </c>
      <c r="E10" s="38">
        <v>7.0</v>
      </c>
      <c r="F10" s="39">
        <v>0.0</v>
      </c>
      <c r="G10" s="40">
        <v>1.0</v>
      </c>
      <c r="H10" s="40">
        <v>1.0</v>
      </c>
      <c r="I10" s="40">
        <v>1.0</v>
      </c>
      <c r="J10" s="40">
        <v>0.0</v>
      </c>
      <c r="K10" s="40">
        <v>0.0</v>
      </c>
      <c r="L10" s="40">
        <v>0.0</v>
      </c>
      <c r="M10" s="37">
        <f t="shared" si="2"/>
        <v>91</v>
      </c>
      <c r="N10" s="41">
        <v>28.0</v>
      </c>
      <c r="O10" s="41">
        <v>0.0</v>
      </c>
      <c r="P10" s="41">
        <v>0.0</v>
      </c>
      <c r="Q10" s="41">
        <v>0.0</v>
      </c>
      <c r="R10" s="41">
        <v>0.0</v>
      </c>
      <c r="S10" s="42">
        <v>0.0</v>
      </c>
      <c r="T10" s="43">
        <v>4.0</v>
      </c>
      <c r="U10" s="44">
        <v>43.0</v>
      </c>
      <c r="V10" s="45">
        <v>44.0</v>
      </c>
      <c r="W10" s="45">
        <v>0.0</v>
      </c>
      <c r="X10" s="46">
        <v>12.0</v>
      </c>
      <c r="Y10" s="47">
        <v>4.0</v>
      </c>
      <c r="Z10" s="48">
        <v>0.0</v>
      </c>
      <c r="AA10" s="49">
        <v>1.0</v>
      </c>
      <c r="AB10" s="50">
        <v>0.0</v>
      </c>
      <c r="AC10" s="51">
        <v>0.0</v>
      </c>
      <c r="AD10" s="52">
        <v>0.0</v>
      </c>
    </row>
    <row r="11">
      <c r="A11" s="34">
        <v>8.0</v>
      </c>
      <c r="B11" s="35">
        <f t="shared" si="1"/>
        <v>64</v>
      </c>
      <c r="C11" s="36">
        <v>23.0</v>
      </c>
      <c r="D11" s="37">
        <v>87.0</v>
      </c>
      <c r="E11" s="38">
        <v>7.0</v>
      </c>
      <c r="F11" s="39">
        <v>2.0</v>
      </c>
      <c r="G11" s="40">
        <v>4.0</v>
      </c>
      <c r="H11" s="40">
        <v>3.0</v>
      </c>
      <c r="I11" s="40">
        <v>1.0</v>
      </c>
      <c r="J11" s="40">
        <v>0.0</v>
      </c>
      <c r="K11" s="40">
        <v>0.0</v>
      </c>
      <c r="L11" s="40">
        <v>0.0</v>
      </c>
      <c r="M11" s="37">
        <f t="shared" si="2"/>
        <v>87</v>
      </c>
      <c r="N11" s="41">
        <v>26.0</v>
      </c>
      <c r="O11" s="41">
        <v>0.0</v>
      </c>
      <c r="P11" s="41">
        <v>0.0</v>
      </c>
      <c r="Q11" s="41">
        <v>0.0</v>
      </c>
      <c r="R11" s="41">
        <v>0.0</v>
      </c>
      <c r="S11" s="42">
        <v>0.0</v>
      </c>
      <c r="T11" s="43">
        <v>7.0</v>
      </c>
      <c r="U11" s="44">
        <v>44.0</v>
      </c>
      <c r="V11" s="45">
        <v>36.0</v>
      </c>
      <c r="W11" s="45">
        <v>0.0</v>
      </c>
      <c r="X11" s="46">
        <v>13.0</v>
      </c>
      <c r="Y11" s="47">
        <v>3.0</v>
      </c>
      <c r="Z11" s="48">
        <v>3.0</v>
      </c>
      <c r="AA11" s="49">
        <v>1.0</v>
      </c>
      <c r="AB11" s="50">
        <v>1.0</v>
      </c>
      <c r="AC11" s="51">
        <v>0.0</v>
      </c>
      <c r="AD11" s="52">
        <v>0.0</v>
      </c>
    </row>
    <row r="12">
      <c r="A12" s="34">
        <v>9.0</v>
      </c>
      <c r="B12" s="35">
        <f t="shared" si="1"/>
        <v>73</v>
      </c>
      <c r="C12" s="36">
        <v>20.0</v>
      </c>
      <c r="D12" s="37">
        <v>93.0</v>
      </c>
      <c r="E12" s="38">
        <v>8.0</v>
      </c>
      <c r="F12" s="39">
        <v>3.0</v>
      </c>
      <c r="G12" s="40">
        <v>2.0</v>
      </c>
      <c r="H12" s="40">
        <v>5.0</v>
      </c>
      <c r="I12" s="40">
        <v>1.0</v>
      </c>
      <c r="J12" s="40">
        <v>0.0</v>
      </c>
      <c r="K12" s="40">
        <v>0.0</v>
      </c>
      <c r="L12" s="40">
        <v>0.0</v>
      </c>
      <c r="M12" s="37">
        <f t="shared" si="2"/>
        <v>93</v>
      </c>
      <c r="N12" s="41">
        <v>25.0</v>
      </c>
      <c r="O12" s="41">
        <v>1.0</v>
      </c>
      <c r="P12" s="41">
        <v>0.0</v>
      </c>
      <c r="Q12" s="41">
        <v>0.0</v>
      </c>
      <c r="R12" s="41">
        <v>0.0</v>
      </c>
      <c r="S12" s="42">
        <v>0.0</v>
      </c>
      <c r="T12" s="43">
        <v>8.0</v>
      </c>
      <c r="U12" s="44">
        <v>37.0</v>
      </c>
      <c r="V12" s="45">
        <v>48.0</v>
      </c>
      <c r="W12" s="45">
        <v>0.0</v>
      </c>
      <c r="X12" s="46">
        <v>8.0</v>
      </c>
      <c r="Y12" s="47">
        <v>3.0</v>
      </c>
      <c r="Z12" s="48">
        <v>3.0</v>
      </c>
      <c r="AA12" s="49">
        <v>2.0</v>
      </c>
      <c r="AB12" s="50">
        <v>3.0</v>
      </c>
      <c r="AC12" s="51">
        <v>0.0</v>
      </c>
      <c r="AD12" s="52">
        <v>0.0</v>
      </c>
    </row>
    <row r="13">
      <c r="A13" s="34">
        <v>10.0</v>
      </c>
      <c r="B13" s="35">
        <f t="shared" si="1"/>
        <v>79</v>
      </c>
      <c r="C13" s="36">
        <v>14.0</v>
      </c>
      <c r="D13" s="37">
        <v>93.0</v>
      </c>
      <c r="E13" s="38">
        <v>10.0</v>
      </c>
      <c r="F13" s="39">
        <v>1.0</v>
      </c>
      <c r="G13" s="40">
        <v>0.0</v>
      </c>
      <c r="H13" s="40">
        <v>1.0</v>
      </c>
      <c r="I13" s="40">
        <v>2.0</v>
      </c>
      <c r="J13" s="40">
        <v>1.0</v>
      </c>
      <c r="K13" s="40">
        <v>0.0</v>
      </c>
      <c r="L13" s="40">
        <v>0.0</v>
      </c>
      <c r="M13" s="37">
        <f t="shared" si="2"/>
        <v>93</v>
      </c>
      <c r="N13" s="41">
        <v>25.0</v>
      </c>
      <c r="O13" s="41">
        <v>1.0</v>
      </c>
      <c r="P13" s="41">
        <v>0.0</v>
      </c>
      <c r="Q13" s="41">
        <v>0.0</v>
      </c>
      <c r="R13" s="41">
        <v>0.0</v>
      </c>
      <c r="S13" s="42">
        <v>0.0</v>
      </c>
      <c r="T13" s="43">
        <v>4.0</v>
      </c>
      <c r="U13" s="44">
        <v>28.0</v>
      </c>
      <c r="V13" s="45">
        <v>61.0</v>
      </c>
      <c r="W13" s="45">
        <v>0.0</v>
      </c>
      <c r="X13" s="46">
        <v>5.0</v>
      </c>
      <c r="Y13" s="47">
        <v>2.0</v>
      </c>
      <c r="Z13" s="48">
        <v>2.0</v>
      </c>
      <c r="AA13" s="49">
        <v>2.0</v>
      </c>
      <c r="AB13" s="50">
        <v>2.0</v>
      </c>
      <c r="AC13" s="51">
        <v>1.0</v>
      </c>
      <c r="AD13" s="52">
        <v>0.0</v>
      </c>
    </row>
    <row r="14">
      <c r="A14" s="34">
        <v>11.0</v>
      </c>
      <c r="B14" s="35">
        <f t="shared" si="1"/>
        <v>89</v>
      </c>
      <c r="C14" s="36">
        <v>20.0</v>
      </c>
      <c r="D14" s="37">
        <v>109.0</v>
      </c>
      <c r="E14" s="38">
        <v>2.0</v>
      </c>
      <c r="F14" s="39">
        <v>2.0</v>
      </c>
      <c r="G14" s="40">
        <v>0.0</v>
      </c>
      <c r="H14" s="40">
        <v>5.0</v>
      </c>
      <c r="I14" s="40">
        <v>0.0</v>
      </c>
      <c r="J14" s="40">
        <v>0.0</v>
      </c>
      <c r="K14" s="40">
        <v>0.0</v>
      </c>
      <c r="L14" s="40">
        <v>0.0</v>
      </c>
      <c r="M14" s="37">
        <f t="shared" si="2"/>
        <v>109</v>
      </c>
      <c r="N14" s="41">
        <v>33.0</v>
      </c>
      <c r="O14" s="41">
        <v>2.0</v>
      </c>
      <c r="P14" s="41">
        <v>0.0</v>
      </c>
      <c r="Q14" s="41">
        <v>0.0</v>
      </c>
      <c r="R14" s="41">
        <v>0.0</v>
      </c>
      <c r="S14" s="42">
        <v>0.0</v>
      </c>
      <c r="T14" s="43">
        <v>4.0</v>
      </c>
      <c r="U14" s="44">
        <v>49.0</v>
      </c>
      <c r="V14" s="45">
        <v>56.0</v>
      </c>
      <c r="W14" s="53">
        <v>0.0</v>
      </c>
      <c r="X14" s="46">
        <v>5.0</v>
      </c>
      <c r="Y14" s="47">
        <v>3.0</v>
      </c>
      <c r="Z14" s="48">
        <v>0.0</v>
      </c>
      <c r="AA14" s="49">
        <v>3.0</v>
      </c>
      <c r="AB14" s="50">
        <v>1.0</v>
      </c>
      <c r="AC14" s="51">
        <v>0.0</v>
      </c>
      <c r="AD14" s="52">
        <v>0.0</v>
      </c>
    </row>
    <row r="15">
      <c r="A15" s="34">
        <v>12.0</v>
      </c>
      <c r="B15" s="35">
        <f t="shared" si="1"/>
        <v>68</v>
      </c>
      <c r="C15" s="36">
        <v>33.0</v>
      </c>
      <c r="D15" s="37">
        <v>101.0</v>
      </c>
      <c r="E15" s="38">
        <v>8.0</v>
      </c>
      <c r="F15" s="39">
        <v>0.0</v>
      </c>
      <c r="G15" s="40">
        <v>4.0</v>
      </c>
      <c r="H15" s="40">
        <v>4.0</v>
      </c>
      <c r="I15" s="40">
        <v>1.0</v>
      </c>
      <c r="J15" s="40">
        <v>0.0</v>
      </c>
      <c r="K15" s="40">
        <v>0.0</v>
      </c>
      <c r="L15" s="40">
        <v>0.0</v>
      </c>
      <c r="M15" s="37">
        <f t="shared" si="2"/>
        <v>101</v>
      </c>
      <c r="N15" s="41">
        <v>50.0</v>
      </c>
      <c r="O15" s="41">
        <v>2.0</v>
      </c>
      <c r="P15" s="54">
        <v>0.0</v>
      </c>
      <c r="Q15" s="54">
        <v>0.0</v>
      </c>
      <c r="R15" s="54">
        <v>0.0</v>
      </c>
      <c r="S15" s="42">
        <v>0.0</v>
      </c>
      <c r="T15" s="43">
        <v>8.0</v>
      </c>
      <c r="U15" s="44">
        <v>45.0</v>
      </c>
      <c r="V15" s="45">
        <v>48.0</v>
      </c>
      <c r="W15" s="55">
        <v>0.0</v>
      </c>
      <c r="X15" s="46">
        <v>21.0</v>
      </c>
      <c r="Y15" s="47">
        <v>3.0</v>
      </c>
      <c r="Z15" s="48">
        <v>2.0</v>
      </c>
      <c r="AA15" s="49">
        <v>1.0</v>
      </c>
      <c r="AB15" s="50">
        <v>1.0</v>
      </c>
      <c r="AC15" s="51">
        <v>0.0</v>
      </c>
      <c r="AD15" s="52">
        <v>0.0</v>
      </c>
    </row>
    <row r="16">
      <c r="A16" s="34">
        <v>13.0</v>
      </c>
      <c r="B16" s="35">
        <f t="shared" si="1"/>
        <v>69</v>
      </c>
      <c r="C16" s="36">
        <v>16.0</v>
      </c>
      <c r="D16" s="37">
        <v>85.0</v>
      </c>
      <c r="E16" s="38">
        <v>5.0</v>
      </c>
      <c r="F16" s="39">
        <v>0.0</v>
      </c>
      <c r="G16" s="40">
        <v>0.0</v>
      </c>
      <c r="H16" s="40">
        <v>3.0</v>
      </c>
      <c r="I16" s="40">
        <v>2.0</v>
      </c>
      <c r="J16" s="40">
        <v>0.0</v>
      </c>
      <c r="K16" s="40">
        <v>0.0</v>
      </c>
      <c r="L16" s="40">
        <v>0.0</v>
      </c>
      <c r="M16" s="37">
        <f t="shared" si="2"/>
        <v>85</v>
      </c>
      <c r="N16" s="41">
        <v>22.0</v>
      </c>
      <c r="O16" s="41">
        <v>0.0</v>
      </c>
      <c r="P16" s="54">
        <v>0.0</v>
      </c>
      <c r="Q16" s="54">
        <v>0.0</v>
      </c>
      <c r="R16" s="54">
        <v>0.0</v>
      </c>
      <c r="S16" s="42">
        <v>0.0</v>
      </c>
      <c r="T16" s="43">
        <v>3.0</v>
      </c>
      <c r="U16" s="44">
        <v>46.0</v>
      </c>
      <c r="V16" s="45">
        <v>36.0</v>
      </c>
      <c r="W16" s="55">
        <v>0.0</v>
      </c>
      <c r="X16" s="46">
        <v>12.0</v>
      </c>
      <c r="Y16" s="47">
        <v>3.0</v>
      </c>
      <c r="Z16" s="48">
        <v>3.0</v>
      </c>
      <c r="AA16" s="49">
        <v>9.0</v>
      </c>
      <c r="AB16" s="50">
        <v>0.0</v>
      </c>
      <c r="AC16" s="51">
        <v>0.0</v>
      </c>
      <c r="AD16" s="52">
        <v>0.0</v>
      </c>
    </row>
    <row r="17">
      <c r="A17" s="34">
        <v>14.0</v>
      </c>
      <c r="B17" s="35">
        <f t="shared" si="1"/>
        <v>61</v>
      </c>
      <c r="C17" s="36">
        <v>28.0</v>
      </c>
      <c r="D17" s="37">
        <v>89.0</v>
      </c>
      <c r="E17" s="38">
        <v>3.0</v>
      </c>
      <c r="F17" s="39">
        <v>3.0</v>
      </c>
      <c r="G17" s="40">
        <v>0.0</v>
      </c>
      <c r="H17" s="40">
        <v>2.0</v>
      </c>
      <c r="I17" s="40">
        <v>2.0</v>
      </c>
      <c r="J17" s="40">
        <v>0.0</v>
      </c>
      <c r="K17" s="40">
        <v>0.0</v>
      </c>
      <c r="L17" s="40">
        <v>0.0</v>
      </c>
      <c r="M17" s="37">
        <f t="shared" si="2"/>
        <v>89</v>
      </c>
      <c r="N17" s="41">
        <v>30.0</v>
      </c>
      <c r="O17" s="41">
        <v>2.0</v>
      </c>
      <c r="P17" s="54">
        <v>0.0</v>
      </c>
      <c r="Q17" s="54">
        <v>0.0</v>
      </c>
      <c r="R17" s="54">
        <v>0.0</v>
      </c>
      <c r="S17" s="42">
        <v>0.0</v>
      </c>
      <c r="T17" s="43">
        <v>3.0</v>
      </c>
      <c r="U17" s="44">
        <v>41.0</v>
      </c>
      <c r="V17" s="45">
        <v>45.0</v>
      </c>
      <c r="W17" s="55">
        <v>0.0</v>
      </c>
      <c r="X17" s="46">
        <v>6.0</v>
      </c>
      <c r="Y17" s="47">
        <v>4.0</v>
      </c>
      <c r="Z17" s="48">
        <v>1.0</v>
      </c>
      <c r="AA17" s="49">
        <v>5.0</v>
      </c>
      <c r="AB17" s="50">
        <v>0.0</v>
      </c>
      <c r="AC17" s="51">
        <v>0.0</v>
      </c>
      <c r="AD17" s="52">
        <v>0.0</v>
      </c>
    </row>
    <row r="18">
      <c r="A18" s="34">
        <v>15.0</v>
      </c>
      <c r="B18" s="35">
        <f t="shared" si="1"/>
        <v>61</v>
      </c>
      <c r="C18" s="36">
        <v>20.0</v>
      </c>
      <c r="D18" s="37">
        <v>81.0</v>
      </c>
      <c r="E18" s="38">
        <v>7.0</v>
      </c>
      <c r="F18" s="39">
        <v>2.0</v>
      </c>
      <c r="G18" s="40">
        <v>2.0</v>
      </c>
      <c r="H18" s="40">
        <v>4.0</v>
      </c>
      <c r="I18" s="40">
        <v>2.0</v>
      </c>
      <c r="J18" s="40">
        <v>0.0</v>
      </c>
      <c r="K18" s="40">
        <v>0.0</v>
      </c>
      <c r="L18" s="40">
        <v>0.0</v>
      </c>
      <c r="M18" s="37">
        <f t="shared" si="2"/>
        <v>81</v>
      </c>
      <c r="N18" s="41">
        <v>24.0</v>
      </c>
      <c r="O18" s="41">
        <v>1.0</v>
      </c>
      <c r="P18" s="54">
        <v>0.0</v>
      </c>
      <c r="Q18" s="54">
        <v>0.0</v>
      </c>
      <c r="R18" s="54">
        <v>0.0</v>
      </c>
      <c r="S18" s="42">
        <v>0.0</v>
      </c>
      <c r="T18" s="43">
        <v>4.0</v>
      </c>
      <c r="U18" s="44">
        <v>40.0</v>
      </c>
      <c r="V18" s="45">
        <v>37.0</v>
      </c>
      <c r="W18" s="55">
        <v>0.0</v>
      </c>
      <c r="X18" s="46">
        <v>12.0</v>
      </c>
      <c r="Y18" s="47">
        <v>1.0</v>
      </c>
      <c r="Z18" s="48">
        <v>5.0</v>
      </c>
      <c r="AA18" s="49">
        <v>4.0</v>
      </c>
      <c r="AB18" s="50">
        <v>0.0</v>
      </c>
      <c r="AC18" s="51">
        <v>0.0</v>
      </c>
      <c r="AD18" s="52">
        <v>0.0</v>
      </c>
    </row>
    <row r="19">
      <c r="A19" s="34">
        <v>16.0</v>
      </c>
      <c r="B19" s="35">
        <f t="shared" si="1"/>
        <v>81</v>
      </c>
      <c r="C19" s="36">
        <v>28.0</v>
      </c>
      <c r="D19" s="37">
        <v>109.0</v>
      </c>
      <c r="E19" s="38">
        <v>10.0</v>
      </c>
      <c r="F19" s="39">
        <v>1.0</v>
      </c>
      <c r="G19" s="40">
        <v>0.0</v>
      </c>
      <c r="H19" s="40">
        <v>1.0</v>
      </c>
      <c r="I19" s="40">
        <v>1.0</v>
      </c>
      <c r="J19" s="40">
        <v>0.0</v>
      </c>
      <c r="K19" s="40">
        <v>0.0</v>
      </c>
      <c r="L19" s="40">
        <v>1.0</v>
      </c>
      <c r="M19" s="37">
        <f t="shared" si="2"/>
        <v>109</v>
      </c>
      <c r="N19" s="41">
        <v>29.0</v>
      </c>
      <c r="O19" s="41">
        <v>1.0</v>
      </c>
      <c r="P19" s="41">
        <v>1.0</v>
      </c>
      <c r="Q19" s="41">
        <v>0.0</v>
      </c>
      <c r="R19" s="41">
        <v>0.0</v>
      </c>
      <c r="S19" s="42">
        <v>0.0</v>
      </c>
      <c r="T19" s="43">
        <v>8.0</v>
      </c>
      <c r="U19" s="44">
        <v>46.0</v>
      </c>
      <c r="V19" s="45">
        <v>53.0</v>
      </c>
      <c r="W19" s="56">
        <v>2.0</v>
      </c>
      <c r="X19" s="46">
        <v>14.0</v>
      </c>
      <c r="Y19" s="47">
        <v>6.0</v>
      </c>
      <c r="Z19" s="48">
        <v>4.0</v>
      </c>
      <c r="AA19" s="49">
        <v>4.0</v>
      </c>
      <c r="AB19" s="50">
        <v>0.0</v>
      </c>
      <c r="AC19" s="51">
        <v>0.0</v>
      </c>
      <c r="AD19" s="52">
        <v>0.0</v>
      </c>
    </row>
    <row r="20">
      <c r="A20" s="34">
        <v>17.0</v>
      </c>
      <c r="B20" s="35">
        <f t="shared" si="1"/>
        <v>72</v>
      </c>
      <c r="C20" s="36">
        <v>17.0</v>
      </c>
      <c r="D20" s="37">
        <v>89.0</v>
      </c>
      <c r="E20" s="38">
        <v>2.0</v>
      </c>
      <c r="F20" s="39">
        <v>0.0</v>
      </c>
      <c r="G20" s="40">
        <v>0.0</v>
      </c>
      <c r="H20" s="40">
        <v>0.0</v>
      </c>
      <c r="I20" s="40">
        <v>4.0</v>
      </c>
      <c r="J20" s="40">
        <v>1.0</v>
      </c>
      <c r="K20" s="40">
        <v>0.0</v>
      </c>
      <c r="L20" s="40">
        <v>0.0</v>
      </c>
      <c r="M20" s="37">
        <f t="shared" si="2"/>
        <v>89</v>
      </c>
      <c r="N20" s="41">
        <v>25.0</v>
      </c>
      <c r="O20" s="41">
        <v>0.0</v>
      </c>
      <c r="P20" s="41">
        <v>0.0</v>
      </c>
      <c r="Q20" s="41">
        <v>0.0</v>
      </c>
      <c r="R20" s="41">
        <v>0.0</v>
      </c>
      <c r="S20" s="42">
        <v>0.0</v>
      </c>
      <c r="T20" s="43">
        <v>5.0</v>
      </c>
      <c r="U20" s="44">
        <v>28.0</v>
      </c>
      <c r="V20" s="45">
        <v>56.0</v>
      </c>
      <c r="W20" s="45">
        <v>0.0</v>
      </c>
      <c r="X20" s="46">
        <v>6.0</v>
      </c>
      <c r="Y20" s="47">
        <v>0.0</v>
      </c>
      <c r="Z20" s="48">
        <v>1.0</v>
      </c>
      <c r="AA20" s="49">
        <v>5.0</v>
      </c>
      <c r="AB20" s="50">
        <v>0.0</v>
      </c>
      <c r="AC20" s="51">
        <v>0.0</v>
      </c>
      <c r="AD20" s="52">
        <v>0.0</v>
      </c>
    </row>
    <row r="21">
      <c r="A21" s="34">
        <v>18.0</v>
      </c>
      <c r="B21" s="35">
        <f t="shared" si="1"/>
        <v>86</v>
      </c>
      <c r="C21" s="36">
        <v>13.0</v>
      </c>
      <c r="D21" s="37">
        <v>99.0</v>
      </c>
      <c r="E21" s="38">
        <v>6.0</v>
      </c>
      <c r="F21" s="39">
        <v>1.0</v>
      </c>
      <c r="G21" s="40">
        <v>2.0</v>
      </c>
      <c r="H21" s="40">
        <v>2.0</v>
      </c>
      <c r="I21" s="40">
        <v>2.0</v>
      </c>
      <c r="J21" s="40">
        <v>0.0</v>
      </c>
      <c r="K21" s="40">
        <v>0.0</v>
      </c>
      <c r="L21" s="40">
        <v>1.0</v>
      </c>
      <c r="M21" s="37">
        <f t="shared" si="2"/>
        <v>99</v>
      </c>
      <c r="N21" s="41">
        <v>29.0</v>
      </c>
      <c r="O21" s="41">
        <v>0.0</v>
      </c>
      <c r="P21" s="41">
        <v>0.0</v>
      </c>
      <c r="Q21" s="41">
        <v>0.0</v>
      </c>
      <c r="R21" s="41">
        <v>0.0</v>
      </c>
      <c r="S21" s="42">
        <v>0.0</v>
      </c>
      <c r="T21" s="43">
        <v>7.0</v>
      </c>
      <c r="U21" s="44">
        <v>43.0</v>
      </c>
      <c r="V21" s="45">
        <v>49.0</v>
      </c>
      <c r="W21" s="45">
        <v>0.0</v>
      </c>
      <c r="X21" s="46">
        <v>5.0</v>
      </c>
      <c r="Y21" s="47">
        <v>6.0</v>
      </c>
      <c r="Z21" s="48">
        <v>3.0</v>
      </c>
      <c r="AA21" s="49">
        <v>4.0</v>
      </c>
      <c r="AB21" s="50">
        <v>0.0</v>
      </c>
      <c r="AC21" s="51">
        <v>0.0</v>
      </c>
      <c r="AD21" s="52">
        <v>0.0</v>
      </c>
    </row>
    <row r="22">
      <c r="A22" s="34">
        <v>19.0</v>
      </c>
      <c r="B22" s="35">
        <f t="shared" si="1"/>
        <v>61</v>
      </c>
      <c r="C22" s="36">
        <v>27.0</v>
      </c>
      <c r="D22" s="37">
        <v>88.0</v>
      </c>
      <c r="E22" s="38">
        <v>3.0</v>
      </c>
      <c r="F22" s="39">
        <v>2.0</v>
      </c>
      <c r="G22" s="40">
        <v>1.0</v>
      </c>
      <c r="H22" s="40">
        <v>1.0</v>
      </c>
      <c r="I22" s="40">
        <v>1.0</v>
      </c>
      <c r="J22" s="40">
        <v>0.0</v>
      </c>
      <c r="K22" s="40">
        <v>0.0</v>
      </c>
      <c r="L22" s="40">
        <v>0.0</v>
      </c>
      <c r="M22" s="37">
        <f t="shared" si="2"/>
        <v>88</v>
      </c>
      <c r="N22" s="41">
        <v>31.0</v>
      </c>
      <c r="O22" s="41">
        <v>1.0</v>
      </c>
      <c r="P22" s="41">
        <v>0.0</v>
      </c>
      <c r="Q22" s="41">
        <v>1.0</v>
      </c>
      <c r="R22" s="41">
        <v>0.0</v>
      </c>
      <c r="S22" s="42">
        <v>0.0</v>
      </c>
      <c r="T22" s="43">
        <v>9.0</v>
      </c>
      <c r="U22" s="44">
        <v>45.0</v>
      </c>
      <c r="V22" s="45">
        <v>34.0</v>
      </c>
      <c r="W22" s="45">
        <v>0.0</v>
      </c>
      <c r="X22" s="46">
        <v>12.0</v>
      </c>
      <c r="Y22" s="47">
        <v>6.0</v>
      </c>
      <c r="Z22" s="48">
        <v>3.0</v>
      </c>
      <c r="AA22" s="49">
        <v>1.0</v>
      </c>
      <c r="AB22" s="50">
        <v>1.0</v>
      </c>
      <c r="AC22" s="51">
        <v>0.0</v>
      </c>
      <c r="AD22" s="52">
        <v>0.0</v>
      </c>
    </row>
    <row r="23">
      <c r="A23" s="34">
        <v>20.0</v>
      </c>
      <c r="B23" s="35">
        <f t="shared" si="1"/>
        <v>73</v>
      </c>
      <c r="C23" s="36">
        <v>20.0</v>
      </c>
      <c r="D23" s="37">
        <v>93.0</v>
      </c>
      <c r="E23" s="38">
        <v>5.0</v>
      </c>
      <c r="F23" s="39">
        <v>1.0</v>
      </c>
      <c r="G23" s="40">
        <v>3.0</v>
      </c>
      <c r="H23" s="40">
        <v>3.0</v>
      </c>
      <c r="I23" s="40">
        <v>4.0</v>
      </c>
      <c r="J23" s="40">
        <v>2.0</v>
      </c>
      <c r="K23" s="40">
        <v>0.0</v>
      </c>
      <c r="L23" s="40">
        <v>0.0</v>
      </c>
      <c r="M23" s="37">
        <f t="shared" si="2"/>
        <v>93</v>
      </c>
      <c r="N23" s="41">
        <v>25.0</v>
      </c>
      <c r="O23" s="41">
        <v>0.0</v>
      </c>
      <c r="P23" s="54">
        <v>0.0</v>
      </c>
      <c r="Q23" s="54">
        <v>0.0</v>
      </c>
      <c r="R23" s="54">
        <v>0.0</v>
      </c>
      <c r="S23" s="42">
        <v>0.0</v>
      </c>
      <c r="T23" s="43">
        <v>4.0</v>
      </c>
      <c r="U23" s="44">
        <v>45.0</v>
      </c>
      <c r="V23" s="45">
        <v>44.0</v>
      </c>
      <c r="W23" s="55">
        <v>0.0</v>
      </c>
      <c r="X23" s="46">
        <v>14.0</v>
      </c>
      <c r="Y23" s="47">
        <v>4.0</v>
      </c>
      <c r="Z23" s="48">
        <v>0.0</v>
      </c>
      <c r="AA23" s="49">
        <v>3.0</v>
      </c>
      <c r="AB23" s="50">
        <v>0.0</v>
      </c>
      <c r="AC23" s="51">
        <v>0.0</v>
      </c>
      <c r="AD23" s="52">
        <v>0.0</v>
      </c>
    </row>
    <row r="24">
      <c r="A24" s="34">
        <v>21.0</v>
      </c>
      <c r="B24" s="35">
        <f t="shared" si="1"/>
        <v>73</v>
      </c>
      <c r="C24" s="36">
        <v>19.0</v>
      </c>
      <c r="D24" s="37">
        <v>92.0</v>
      </c>
      <c r="E24" s="38">
        <v>10.0</v>
      </c>
      <c r="F24" s="39">
        <v>0.0</v>
      </c>
      <c r="G24" s="40">
        <v>0.0</v>
      </c>
      <c r="H24" s="40">
        <v>0.0</v>
      </c>
      <c r="I24" s="40">
        <v>3.0</v>
      </c>
      <c r="J24" s="40">
        <v>0.0</v>
      </c>
      <c r="K24" s="40">
        <v>0.0</v>
      </c>
      <c r="L24" s="40">
        <v>0.0</v>
      </c>
      <c r="M24" s="37">
        <f t="shared" si="2"/>
        <v>92</v>
      </c>
      <c r="N24" s="41">
        <v>18.0</v>
      </c>
      <c r="O24" s="41">
        <v>0.0</v>
      </c>
      <c r="P24" s="54">
        <v>0.0</v>
      </c>
      <c r="Q24" s="54">
        <v>0.0</v>
      </c>
      <c r="R24" s="54">
        <v>0.0</v>
      </c>
      <c r="S24" s="42">
        <v>0.0</v>
      </c>
      <c r="T24" s="43">
        <v>6.0</v>
      </c>
      <c r="U24" s="44">
        <v>47.0</v>
      </c>
      <c r="V24" s="45">
        <v>39.0</v>
      </c>
      <c r="W24" s="55">
        <v>0.0</v>
      </c>
      <c r="X24" s="46">
        <v>15.0</v>
      </c>
      <c r="Y24" s="47">
        <v>6.0</v>
      </c>
      <c r="Z24" s="48">
        <v>3.0</v>
      </c>
      <c r="AA24" s="49">
        <v>5.0</v>
      </c>
      <c r="AB24" s="50">
        <v>0.0</v>
      </c>
      <c r="AC24" s="51">
        <v>0.0</v>
      </c>
      <c r="AD24" s="52">
        <v>0.0</v>
      </c>
    </row>
    <row r="25">
      <c r="A25" s="34">
        <v>22.0</v>
      </c>
      <c r="B25" s="35">
        <f t="shared" si="1"/>
        <v>48</v>
      </c>
      <c r="C25" s="36">
        <v>26.0</v>
      </c>
      <c r="D25" s="37">
        <v>74.0</v>
      </c>
      <c r="E25" s="38">
        <v>7.0</v>
      </c>
      <c r="F25" s="39">
        <v>2.0</v>
      </c>
      <c r="G25" s="40">
        <v>5.0</v>
      </c>
      <c r="H25" s="40">
        <v>5.0</v>
      </c>
      <c r="I25" s="40">
        <v>2.0</v>
      </c>
      <c r="J25" s="40">
        <v>0.0</v>
      </c>
      <c r="K25" s="40">
        <v>0.0</v>
      </c>
      <c r="L25" s="40">
        <v>0.0</v>
      </c>
      <c r="M25" s="37">
        <f t="shared" si="2"/>
        <v>74</v>
      </c>
      <c r="N25" s="41">
        <v>16.0</v>
      </c>
      <c r="O25" s="41">
        <v>0.0</v>
      </c>
      <c r="P25" s="54">
        <v>0.0</v>
      </c>
      <c r="Q25" s="54">
        <v>0.0</v>
      </c>
      <c r="R25" s="54">
        <v>0.0</v>
      </c>
      <c r="S25" s="42">
        <v>0.0</v>
      </c>
      <c r="T25" s="43">
        <v>6.0</v>
      </c>
      <c r="U25" s="44">
        <v>31.0</v>
      </c>
      <c r="V25" s="45">
        <v>37.0</v>
      </c>
      <c r="W25" s="55">
        <v>0.0</v>
      </c>
      <c r="X25" s="46">
        <v>10.0</v>
      </c>
      <c r="Y25" s="47">
        <v>3.0</v>
      </c>
      <c r="Z25" s="48">
        <v>0.0</v>
      </c>
      <c r="AA25" s="49">
        <v>1.0</v>
      </c>
      <c r="AB25" s="50">
        <v>0.0</v>
      </c>
      <c r="AC25" s="51">
        <v>0.0</v>
      </c>
      <c r="AD25" s="52">
        <v>0.0</v>
      </c>
    </row>
    <row r="26">
      <c r="A26" s="34">
        <v>23.0</v>
      </c>
      <c r="B26" s="35">
        <f t="shared" si="1"/>
        <v>45</v>
      </c>
      <c r="C26" s="36">
        <v>20.0</v>
      </c>
      <c r="D26" s="37">
        <v>65.0</v>
      </c>
      <c r="E26" s="38">
        <v>0.0</v>
      </c>
      <c r="F26" s="39">
        <v>1.0</v>
      </c>
      <c r="G26" s="40">
        <v>1.0</v>
      </c>
      <c r="H26" s="40">
        <v>2.0</v>
      </c>
      <c r="I26" s="40">
        <v>1.0</v>
      </c>
      <c r="J26" s="40">
        <v>0.0</v>
      </c>
      <c r="K26" s="40">
        <v>0.0</v>
      </c>
      <c r="L26" s="40">
        <v>0.0</v>
      </c>
      <c r="M26" s="37">
        <f t="shared" si="2"/>
        <v>65</v>
      </c>
      <c r="N26" s="41">
        <v>20.0</v>
      </c>
      <c r="O26" s="41">
        <v>0.0</v>
      </c>
      <c r="P26" s="54">
        <v>0.0</v>
      </c>
      <c r="Q26" s="54">
        <v>0.0</v>
      </c>
      <c r="R26" s="54">
        <v>0.0</v>
      </c>
      <c r="S26" s="42">
        <v>0.0</v>
      </c>
      <c r="T26" s="43">
        <v>3.0</v>
      </c>
      <c r="U26" s="44">
        <v>35.0</v>
      </c>
      <c r="V26" s="45">
        <v>27.0</v>
      </c>
      <c r="W26" s="55">
        <v>0.0</v>
      </c>
      <c r="X26" s="46">
        <v>12.0</v>
      </c>
      <c r="Y26" s="47">
        <v>4.0</v>
      </c>
      <c r="Z26" s="48">
        <v>1.0</v>
      </c>
      <c r="AA26" s="49">
        <v>1.0</v>
      </c>
      <c r="AB26" s="50">
        <v>0.0</v>
      </c>
      <c r="AC26" s="51">
        <v>0.0</v>
      </c>
      <c r="AD26" s="52">
        <v>0.0</v>
      </c>
    </row>
    <row r="27">
      <c r="A27" s="34">
        <v>24.0</v>
      </c>
      <c r="B27" s="35">
        <f t="shared" si="1"/>
        <v>82</v>
      </c>
      <c r="C27" s="36">
        <v>14.0</v>
      </c>
      <c r="D27" s="37">
        <v>96.0</v>
      </c>
      <c r="E27" s="38">
        <v>11.0</v>
      </c>
      <c r="F27" s="39">
        <v>1.0</v>
      </c>
      <c r="G27" s="40">
        <v>3.0</v>
      </c>
      <c r="H27" s="40">
        <v>4.0</v>
      </c>
      <c r="I27" s="40">
        <v>3.0</v>
      </c>
      <c r="J27" s="40">
        <v>2.0</v>
      </c>
      <c r="K27" s="40">
        <v>0.0</v>
      </c>
      <c r="L27" s="40">
        <v>0.0</v>
      </c>
      <c r="M27" s="37">
        <f t="shared" si="2"/>
        <v>96</v>
      </c>
      <c r="N27" s="41">
        <v>25.0</v>
      </c>
      <c r="O27" s="41">
        <v>0.0</v>
      </c>
      <c r="P27" s="54">
        <v>0.0</v>
      </c>
      <c r="Q27" s="54">
        <v>0.0</v>
      </c>
      <c r="R27" s="54">
        <v>0.0</v>
      </c>
      <c r="S27" s="42">
        <v>0.0</v>
      </c>
      <c r="T27" s="43">
        <v>7.0</v>
      </c>
      <c r="U27" s="44">
        <v>36.0</v>
      </c>
      <c r="V27" s="45">
        <v>53.0</v>
      </c>
      <c r="W27" s="55">
        <v>0.0</v>
      </c>
      <c r="X27" s="46">
        <v>3.0</v>
      </c>
      <c r="Y27" s="47">
        <v>2.0</v>
      </c>
      <c r="Z27" s="48">
        <v>4.0</v>
      </c>
      <c r="AA27" s="49">
        <v>6.0</v>
      </c>
      <c r="AB27" s="50">
        <v>0.0</v>
      </c>
      <c r="AC27" s="51">
        <v>0.0</v>
      </c>
      <c r="AD27" s="52">
        <v>1.0</v>
      </c>
    </row>
    <row r="28">
      <c r="A28" s="34">
        <v>25.0</v>
      </c>
      <c r="B28" s="35">
        <f t="shared" si="1"/>
        <v>86</v>
      </c>
      <c r="C28" s="36">
        <v>28.0</v>
      </c>
      <c r="D28" s="37">
        <v>114.0</v>
      </c>
      <c r="E28" s="38">
        <v>3.0</v>
      </c>
      <c r="F28" s="39">
        <v>4.0</v>
      </c>
      <c r="G28" s="40">
        <v>3.0</v>
      </c>
      <c r="H28" s="40">
        <v>4.0</v>
      </c>
      <c r="I28" s="40">
        <v>2.0</v>
      </c>
      <c r="J28" s="40">
        <v>0.0</v>
      </c>
      <c r="K28" s="40">
        <v>0.0</v>
      </c>
      <c r="L28" s="40">
        <v>0.0</v>
      </c>
      <c r="M28" s="37">
        <f t="shared" si="2"/>
        <v>114</v>
      </c>
      <c r="N28" s="41">
        <v>23.0</v>
      </c>
      <c r="O28" s="41">
        <v>0.0</v>
      </c>
      <c r="P28" s="41">
        <v>0.0</v>
      </c>
      <c r="Q28" s="41">
        <v>0.0</v>
      </c>
      <c r="R28" s="41">
        <v>0.0</v>
      </c>
      <c r="S28" s="42">
        <v>0.0</v>
      </c>
      <c r="T28" s="43">
        <v>1.0</v>
      </c>
      <c r="U28" s="44">
        <v>45.0</v>
      </c>
      <c r="V28" s="45">
        <v>65.0</v>
      </c>
      <c r="W28" s="45">
        <v>3.0</v>
      </c>
      <c r="X28" s="46">
        <v>2.0</v>
      </c>
      <c r="Y28" s="47">
        <v>3.0</v>
      </c>
      <c r="Z28" s="48">
        <v>0.0</v>
      </c>
      <c r="AA28" s="49">
        <v>3.0</v>
      </c>
      <c r="AB28" s="50">
        <v>0.0</v>
      </c>
      <c r="AC28" s="51">
        <v>0.0</v>
      </c>
      <c r="AD28" s="52">
        <v>0.0</v>
      </c>
    </row>
    <row r="29">
      <c r="A29" s="34">
        <v>26.0</v>
      </c>
      <c r="B29" s="35">
        <f t="shared" si="1"/>
        <v>95</v>
      </c>
      <c r="C29" s="36">
        <v>24.0</v>
      </c>
      <c r="D29" s="37">
        <v>119.0</v>
      </c>
      <c r="E29" s="38">
        <v>6.0</v>
      </c>
      <c r="F29" s="39">
        <v>0.0</v>
      </c>
      <c r="G29" s="40">
        <v>1.0</v>
      </c>
      <c r="H29" s="40">
        <v>3.0</v>
      </c>
      <c r="I29" s="40">
        <v>1.0</v>
      </c>
      <c r="J29" s="40">
        <v>0.0</v>
      </c>
      <c r="K29" s="40">
        <v>1.0</v>
      </c>
      <c r="L29" s="40">
        <v>0.0</v>
      </c>
      <c r="M29" s="37">
        <f t="shared" si="2"/>
        <v>119</v>
      </c>
      <c r="N29" s="41">
        <v>40.0</v>
      </c>
      <c r="O29" s="41">
        <v>0.0</v>
      </c>
      <c r="P29" s="41">
        <v>0.0</v>
      </c>
      <c r="Q29" s="41">
        <v>0.0</v>
      </c>
      <c r="R29" s="41">
        <v>0.0</v>
      </c>
      <c r="S29" s="42">
        <v>0.0</v>
      </c>
      <c r="T29" s="43">
        <v>10.0</v>
      </c>
      <c r="U29" s="44">
        <v>43.0</v>
      </c>
      <c r="V29" s="45">
        <v>66.0</v>
      </c>
      <c r="W29" s="45">
        <v>0.0</v>
      </c>
      <c r="X29" s="46">
        <v>2.0</v>
      </c>
      <c r="Y29" s="47">
        <v>8.0</v>
      </c>
      <c r="Z29" s="48">
        <v>0.0</v>
      </c>
      <c r="AA29" s="49">
        <v>3.0</v>
      </c>
      <c r="AB29" s="50">
        <v>0.0</v>
      </c>
      <c r="AC29" s="51">
        <v>0.0</v>
      </c>
      <c r="AD29" s="52">
        <v>0.0</v>
      </c>
    </row>
    <row r="30">
      <c r="A30" s="34">
        <v>27.0</v>
      </c>
      <c r="B30" s="35">
        <f t="shared" si="1"/>
        <v>57</v>
      </c>
      <c r="C30" s="36">
        <v>26.0</v>
      </c>
      <c r="D30" s="37">
        <v>83.0</v>
      </c>
      <c r="E30" s="38">
        <v>1.0</v>
      </c>
      <c r="F30" s="39">
        <v>0.0</v>
      </c>
      <c r="G30" s="40">
        <v>1.0</v>
      </c>
      <c r="H30" s="40">
        <v>2.0</v>
      </c>
      <c r="I30" s="40">
        <v>0.0</v>
      </c>
      <c r="J30" s="40">
        <v>0.0</v>
      </c>
      <c r="K30" s="40">
        <v>0.0</v>
      </c>
      <c r="L30" s="40">
        <v>0.0</v>
      </c>
      <c r="M30" s="37">
        <f t="shared" si="2"/>
        <v>83</v>
      </c>
      <c r="N30" s="41">
        <v>28.0</v>
      </c>
      <c r="O30" s="41">
        <v>1.0</v>
      </c>
      <c r="P30" s="41">
        <v>1.0</v>
      </c>
      <c r="Q30" s="41">
        <v>0.0</v>
      </c>
      <c r="R30" s="41">
        <v>0.0</v>
      </c>
      <c r="S30" s="42">
        <v>0.0</v>
      </c>
      <c r="T30" s="43">
        <v>3.0</v>
      </c>
      <c r="U30" s="44">
        <v>47.0</v>
      </c>
      <c r="V30" s="45">
        <v>33.0</v>
      </c>
      <c r="W30" s="45">
        <v>0.0</v>
      </c>
      <c r="X30" s="46">
        <v>11.0</v>
      </c>
      <c r="Y30" s="47">
        <v>7.0</v>
      </c>
      <c r="Z30" s="48">
        <v>0.0</v>
      </c>
      <c r="AA30" s="49">
        <v>3.0</v>
      </c>
      <c r="AB30" s="50">
        <v>0.0</v>
      </c>
      <c r="AC30" s="51">
        <v>0.0</v>
      </c>
      <c r="AD30" s="52">
        <v>0.0</v>
      </c>
    </row>
    <row r="31">
      <c r="A31" s="34">
        <v>28.0</v>
      </c>
      <c r="B31" s="35">
        <f t="shared" si="1"/>
        <v>63</v>
      </c>
      <c r="C31" s="36">
        <v>12.0</v>
      </c>
      <c r="D31" s="37">
        <v>75.0</v>
      </c>
      <c r="E31" s="38">
        <v>4.0</v>
      </c>
      <c r="F31" s="39">
        <v>0.0</v>
      </c>
      <c r="G31" s="40">
        <v>0.0</v>
      </c>
      <c r="H31" s="40">
        <v>0.0</v>
      </c>
      <c r="I31" s="40">
        <v>0.0</v>
      </c>
      <c r="J31" s="40">
        <v>0.0</v>
      </c>
      <c r="K31" s="40">
        <v>0.0</v>
      </c>
      <c r="L31" s="40">
        <v>0.0</v>
      </c>
      <c r="M31" s="37">
        <f t="shared" si="2"/>
        <v>75</v>
      </c>
      <c r="N31" s="41">
        <v>22.0</v>
      </c>
      <c r="O31" s="41">
        <v>0.0</v>
      </c>
      <c r="P31" s="41">
        <v>0.0</v>
      </c>
      <c r="Q31" s="41">
        <v>0.0</v>
      </c>
      <c r="R31" s="41">
        <v>0.0</v>
      </c>
      <c r="S31" s="42">
        <v>0.0</v>
      </c>
      <c r="T31" s="43">
        <v>3.0</v>
      </c>
      <c r="U31" s="44">
        <v>30.0</v>
      </c>
      <c r="V31" s="45">
        <v>42.0</v>
      </c>
      <c r="W31" s="45">
        <v>0.0</v>
      </c>
      <c r="X31" s="46">
        <v>6.0</v>
      </c>
      <c r="Y31" s="47">
        <v>5.0</v>
      </c>
      <c r="Z31" s="48">
        <v>1.0</v>
      </c>
      <c r="AA31" s="49">
        <v>4.0</v>
      </c>
      <c r="AB31" s="50">
        <v>0.0</v>
      </c>
      <c r="AC31" s="51">
        <v>0.0</v>
      </c>
      <c r="AD31" s="52">
        <v>0.0</v>
      </c>
    </row>
    <row r="32">
      <c r="A32" s="34">
        <v>29.0</v>
      </c>
      <c r="B32" s="35">
        <f t="shared" si="1"/>
        <v>65</v>
      </c>
      <c r="C32" s="36">
        <v>25.0</v>
      </c>
      <c r="D32" s="37">
        <v>90.0</v>
      </c>
      <c r="E32" s="38">
        <v>4.0</v>
      </c>
      <c r="F32" s="39">
        <v>3.0</v>
      </c>
      <c r="G32" s="40">
        <v>1.0</v>
      </c>
      <c r="H32" s="40">
        <v>3.0</v>
      </c>
      <c r="I32" s="40">
        <v>5.0</v>
      </c>
      <c r="J32" s="40">
        <v>0.0</v>
      </c>
      <c r="K32" s="40">
        <v>0.0</v>
      </c>
      <c r="L32" s="40">
        <v>0.0</v>
      </c>
      <c r="M32" s="37">
        <f t="shared" si="2"/>
        <v>90</v>
      </c>
      <c r="N32" s="41">
        <v>35.0</v>
      </c>
      <c r="O32" s="41">
        <v>0.0</v>
      </c>
      <c r="P32" s="41">
        <v>0.0</v>
      </c>
      <c r="Q32" s="41">
        <v>0.0</v>
      </c>
      <c r="R32" s="41">
        <v>0.0</v>
      </c>
      <c r="S32" s="42">
        <v>0.0</v>
      </c>
      <c r="T32" s="43">
        <v>4.0</v>
      </c>
      <c r="U32" s="44">
        <v>35.0</v>
      </c>
      <c r="V32" s="45">
        <v>51.0</v>
      </c>
      <c r="W32" s="45">
        <v>0.0</v>
      </c>
      <c r="X32" s="46">
        <v>11.0</v>
      </c>
      <c r="Y32" s="47">
        <v>3.0</v>
      </c>
      <c r="Z32" s="48">
        <v>0.0</v>
      </c>
      <c r="AA32" s="49">
        <v>3.0</v>
      </c>
      <c r="AB32" s="50">
        <v>0.0</v>
      </c>
      <c r="AC32" s="51">
        <v>0.0</v>
      </c>
      <c r="AD32" s="52">
        <v>0.0</v>
      </c>
    </row>
    <row r="33">
      <c r="A33" s="34">
        <v>30.0</v>
      </c>
      <c r="B33" s="35">
        <f t="shared" si="1"/>
        <v>61</v>
      </c>
      <c r="C33" s="36">
        <v>24.0</v>
      </c>
      <c r="D33" s="37">
        <v>85.0</v>
      </c>
      <c r="E33" s="38">
        <v>3.0</v>
      </c>
      <c r="F33" s="39">
        <v>2.0</v>
      </c>
      <c r="G33" s="40">
        <v>2.0</v>
      </c>
      <c r="H33" s="40">
        <v>3.0</v>
      </c>
      <c r="I33" s="40">
        <v>1.0</v>
      </c>
      <c r="J33" s="40">
        <v>1.0</v>
      </c>
      <c r="K33" s="40">
        <v>0.0</v>
      </c>
      <c r="L33" s="40">
        <v>1.0</v>
      </c>
      <c r="M33" s="37">
        <f t="shared" si="2"/>
        <v>85</v>
      </c>
      <c r="N33" s="41">
        <v>21.0</v>
      </c>
      <c r="O33" s="41">
        <v>0.0</v>
      </c>
      <c r="P33" s="41">
        <v>0.0</v>
      </c>
      <c r="Q33" s="41">
        <v>0.0</v>
      </c>
      <c r="R33" s="41">
        <v>0.0</v>
      </c>
      <c r="S33" s="42">
        <v>0.0</v>
      </c>
      <c r="T33" s="43">
        <v>7.0</v>
      </c>
      <c r="U33" s="44">
        <v>44.0</v>
      </c>
      <c r="V33" s="45">
        <v>34.0</v>
      </c>
      <c r="W33" s="45">
        <v>0.0</v>
      </c>
      <c r="X33" s="46">
        <v>14.0</v>
      </c>
      <c r="Y33" s="47">
        <v>7.0</v>
      </c>
      <c r="Z33" s="48">
        <v>3.0</v>
      </c>
      <c r="AA33" s="49">
        <v>2.0</v>
      </c>
      <c r="AB33" s="50">
        <v>0.0</v>
      </c>
      <c r="AC33" s="51">
        <v>0.0</v>
      </c>
      <c r="AD33" s="52">
        <v>0.0</v>
      </c>
    </row>
    <row r="34">
      <c r="A34" s="204"/>
      <c r="B34" s="35">
        <f t="shared" si="1"/>
        <v>0</v>
      </c>
      <c r="C34" s="83"/>
      <c r="D34" s="84"/>
      <c r="E34" s="85"/>
      <c r="F34" s="86"/>
      <c r="G34" s="87"/>
      <c r="H34" s="87"/>
      <c r="I34" s="87"/>
      <c r="J34" s="87"/>
      <c r="K34" s="87"/>
      <c r="L34" s="87"/>
      <c r="M34" s="84" t="str">
        <f t="shared" si="2"/>
        <v/>
      </c>
      <c r="N34" s="88"/>
      <c r="O34" s="88"/>
      <c r="P34" s="88"/>
      <c r="Q34" s="88"/>
      <c r="R34" s="88"/>
      <c r="S34" s="88"/>
      <c r="T34" s="89"/>
      <c r="U34" s="90"/>
      <c r="V34" s="91"/>
      <c r="W34" s="91"/>
      <c r="X34" s="92"/>
      <c r="Y34" s="93"/>
      <c r="Z34" s="94"/>
      <c r="AA34" s="95"/>
      <c r="AB34" s="96"/>
      <c r="AC34" s="97"/>
      <c r="AD34" s="98"/>
    </row>
    <row r="35">
      <c r="A35" s="57" t="s">
        <v>5</v>
      </c>
      <c r="B35" s="58" t="s">
        <v>6</v>
      </c>
      <c r="C35" s="57" t="s">
        <v>7</v>
      </c>
      <c r="D35" s="59" t="s">
        <v>8</v>
      </c>
      <c r="E35" s="60" t="s">
        <v>9</v>
      </c>
      <c r="F35" s="61" t="s">
        <v>10</v>
      </c>
      <c r="G35" s="19" t="s">
        <v>11</v>
      </c>
      <c r="H35" s="19" t="s">
        <v>12</v>
      </c>
      <c r="I35" s="19" t="s">
        <v>13</v>
      </c>
      <c r="J35" s="19" t="s">
        <v>14</v>
      </c>
      <c r="K35" s="19" t="s">
        <v>15</v>
      </c>
      <c r="L35" s="19" t="s">
        <v>16</v>
      </c>
      <c r="M35" s="20" t="s">
        <v>33</v>
      </c>
      <c r="N35" s="62" t="s">
        <v>18</v>
      </c>
      <c r="O35" s="62" t="s">
        <v>19</v>
      </c>
      <c r="P35" s="63" t="s">
        <v>20</v>
      </c>
      <c r="Q35" s="63" t="s">
        <v>21</v>
      </c>
      <c r="R35" s="63" t="s">
        <v>22</v>
      </c>
      <c r="S35" s="63" t="s">
        <v>23</v>
      </c>
      <c r="T35" s="64" t="s">
        <v>24</v>
      </c>
      <c r="U35" s="65" t="s">
        <v>25</v>
      </c>
      <c r="V35" s="57" t="s">
        <v>34</v>
      </c>
      <c r="W35" s="57" t="s">
        <v>35</v>
      </c>
      <c r="X35" s="66" t="s">
        <v>28</v>
      </c>
      <c r="Y35" s="67" t="s">
        <v>29</v>
      </c>
      <c r="Z35" s="68" t="s">
        <v>23</v>
      </c>
      <c r="AA35" s="30" t="s">
        <v>30</v>
      </c>
      <c r="AB35" s="31" t="s">
        <v>31</v>
      </c>
      <c r="AC35" s="32" t="s">
        <v>32</v>
      </c>
      <c r="AD35" s="33" t="s">
        <v>23</v>
      </c>
    </row>
    <row r="36">
      <c r="A36" s="72" t="s">
        <v>8</v>
      </c>
      <c r="B36" s="58">
        <f t="shared" ref="B36:M36" si="3">SUM(B4:B34)</f>
        <v>2082</v>
      </c>
      <c r="C36" s="73">
        <f t="shared" si="3"/>
        <v>699</v>
      </c>
      <c r="D36" s="59">
        <f t="shared" si="3"/>
        <v>2781</v>
      </c>
      <c r="E36" s="60">
        <f t="shared" si="3"/>
        <v>155</v>
      </c>
      <c r="F36" s="74">
        <f t="shared" si="3"/>
        <v>39</v>
      </c>
      <c r="G36" s="72">
        <f t="shared" si="3"/>
        <v>43</v>
      </c>
      <c r="H36" s="72">
        <f t="shared" si="3"/>
        <v>75</v>
      </c>
      <c r="I36" s="72">
        <f t="shared" si="3"/>
        <v>57</v>
      </c>
      <c r="J36" s="72">
        <f t="shared" si="3"/>
        <v>11</v>
      </c>
      <c r="K36" s="72">
        <f t="shared" si="3"/>
        <v>1</v>
      </c>
      <c r="L36" s="72">
        <f t="shared" si="3"/>
        <v>3</v>
      </c>
      <c r="M36" s="59">
        <f t="shared" si="3"/>
        <v>2781</v>
      </c>
      <c r="N36" s="75">
        <f t="shared" ref="N36:O36" si="4">SUM(N4:N35)</f>
        <v>824</v>
      </c>
      <c r="O36" s="75">
        <f t="shared" si="4"/>
        <v>15</v>
      </c>
      <c r="P36" s="76" t="s">
        <v>4</v>
      </c>
      <c r="Q36" s="2"/>
      <c r="R36" s="2"/>
      <c r="S36" s="3"/>
      <c r="T36" s="64">
        <f t="shared" ref="T36:AD36" si="5">SUM(T4:T34)</f>
        <v>165</v>
      </c>
      <c r="U36" s="65">
        <f t="shared" si="5"/>
        <v>1259</v>
      </c>
      <c r="V36" s="57">
        <f t="shared" si="5"/>
        <v>1352</v>
      </c>
      <c r="W36" s="57">
        <f t="shared" si="5"/>
        <v>5</v>
      </c>
      <c r="X36" s="66">
        <f t="shared" si="5"/>
        <v>281</v>
      </c>
      <c r="Y36" s="67">
        <f t="shared" si="5"/>
        <v>127</v>
      </c>
      <c r="Z36" s="68">
        <f t="shared" si="5"/>
        <v>54</v>
      </c>
      <c r="AA36" s="58">
        <f t="shared" si="5"/>
        <v>103</v>
      </c>
      <c r="AB36" s="69">
        <f t="shared" si="5"/>
        <v>10</v>
      </c>
      <c r="AC36" s="70">
        <f t="shared" si="5"/>
        <v>1</v>
      </c>
      <c r="AD36" s="71">
        <f t="shared" si="5"/>
        <v>1</v>
      </c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8"/>
      <c r="O37" s="8"/>
      <c r="P37" s="75">
        <f t="shared" ref="P37:S37" si="6">SUM(P4:P34)</f>
        <v>2</v>
      </c>
      <c r="Q37" s="75">
        <f t="shared" si="6"/>
        <v>1</v>
      </c>
      <c r="R37" s="75">
        <f t="shared" si="6"/>
        <v>0</v>
      </c>
      <c r="S37" s="75">
        <f t="shared" si="6"/>
        <v>0</v>
      </c>
      <c r="T37" s="7"/>
      <c r="U37" s="3"/>
      <c r="V37" s="77">
        <f>SUM(V36,W36)</f>
        <v>1357</v>
      </c>
      <c r="W37" s="78"/>
      <c r="X37" s="7"/>
      <c r="Y37" s="2"/>
      <c r="Z37" s="3"/>
      <c r="AA37" s="7"/>
      <c r="AB37" s="2"/>
      <c r="AC37" s="2"/>
      <c r="AD37" s="3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79"/>
      <c r="O38" s="80"/>
      <c r="P38" s="2"/>
      <c r="Q38" s="2"/>
      <c r="R38" s="2"/>
      <c r="S38" s="3"/>
      <c r="T38" s="81">
        <f>SUM(T36,U36,V37)</f>
        <v>2781</v>
      </c>
      <c r="U38" s="2"/>
      <c r="V38" s="2"/>
      <c r="W38" s="78"/>
      <c r="X38" s="82">
        <f>SUM(X36:Z36)</f>
        <v>462</v>
      </c>
      <c r="Y38" s="2"/>
      <c r="Z38" s="3"/>
      <c r="AA38" s="82">
        <f>SUM(AA36:AD36)</f>
        <v>115</v>
      </c>
      <c r="AB38" s="2"/>
      <c r="AC38" s="2"/>
      <c r="AD38" s="3"/>
    </row>
  </sheetData>
  <mergeCells count="20">
    <mergeCell ref="A1:S1"/>
    <mergeCell ref="T1:W1"/>
    <mergeCell ref="X1:Z1"/>
    <mergeCell ref="AA1:AD1"/>
    <mergeCell ref="G2:L2"/>
    <mergeCell ref="P2:S2"/>
    <mergeCell ref="T2:W2"/>
    <mergeCell ref="A37:M37"/>
    <mergeCell ref="A38:M38"/>
    <mergeCell ref="O38:S38"/>
    <mergeCell ref="T38:W38"/>
    <mergeCell ref="X38:Z38"/>
    <mergeCell ref="AA38:AD38"/>
    <mergeCell ref="X2:Z2"/>
    <mergeCell ref="AA2:AD2"/>
    <mergeCell ref="P36:S36"/>
    <mergeCell ref="T37:U37"/>
    <mergeCell ref="V37:W37"/>
    <mergeCell ref="X37:Z37"/>
    <mergeCell ref="AA37:AD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1" t="s">
        <v>1</v>
      </c>
      <c r="U1" s="2"/>
      <c r="V1" s="2"/>
      <c r="W1" s="2"/>
      <c r="X1" s="4" t="s">
        <v>2</v>
      </c>
      <c r="Y1" s="2"/>
      <c r="Z1" s="3"/>
      <c r="AA1" s="5" t="s">
        <v>3</v>
      </c>
      <c r="AB1" s="2"/>
      <c r="AC1" s="2"/>
      <c r="AD1" s="3"/>
    </row>
    <row r="2">
      <c r="A2" s="6"/>
      <c r="B2" s="6"/>
      <c r="C2" s="6"/>
      <c r="D2" s="6"/>
      <c r="E2" s="6"/>
      <c r="F2" s="6"/>
      <c r="G2" s="7"/>
      <c r="H2" s="2"/>
      <c r="I2" s="2"/>
      <c r="J2" s="2"/>
      <c r="K2" s="2"/>
      <c r="L2" s="2"/>
      <c r="M2" s="6"/>
      <c r="N2" s="8"/>
      <c r="O2" s="8"/>
      <c r="P2" s="9" t="s">
        <v>4</v>
      </c>
      <c r="Q2" s="10"/>
      <c r="R2" s="10"/>
      <c r="S2" s="11"/>
      <c r="T2" s="7"/>
      <c r="U2" s="2"/>
      <c r="V2" s="2"/>
      <c r="W2" s="2"/>
      <c r="X2" s="12"/>
      <c r="Y2" s="2"/>
      <c r="Z2" s="3"/>
      <c r="AA2" s="12"/>
      <c r="AB2" s="2"/>
      <c r="AC2" s="2"/>
      <c r="AD2" s="3"/>
    </row>
    <row r="3">
      <c r="A3" s="13" t="s">
        <v>5</v>
      </c>
      <c r="B3" s="14" t="s">
        <v>6</v>
      </c>
      <c r="C3" s="15" t="s">
        <v>7</v>
      </c>
      <c r="D3" s="16" t="s">
        <v>8</v>
      </c>
      <c r="E3" s="17" t="s">
        <v>9</v>
      </c>
      <c r="F3" s="18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20" t="s">
        <v>17</v>
      </c>
      <c r="N3" s="21" t="s">
        <v>18</v>
      </c>
      <c r="O3" s="21" t="s">
        <v>19</v>
      </c>
      <c r="P3" s="22" t="s">
        <v>20</v>
      </c>
      <c r="Q3" s="22" t="s">
        <v>21</v>
      </c>
      <c r="R3" s="22" t="s">
        <v>22</v>
      </c>
      <c r="S3" s="22" t="s">
        <v>23</v>
      </c>
      <c r="T3" s="23" t="s">
        <v>24</v>
      </c>
      <c r="U3" s="24" t="s">
        <v>25</v>
      </c>
      <c r="V3" s="25" t="s">
        <v>26</v>
      </c>
      <c r="W3" s="26" t="s">
        <v>27</v>
      </c>
      <c r="X3" s="27" t="s">
        <v>28</v>
      </c>
      <c r="Y3" s="28" t="s">
        <v>29</v>
      </c>
      <c r="Z3" s="29" t="s">
        <v>23</v>
      </c>
      <c r="AA3" s="30" t="s">
        <v>30</v>
      </c>
      <c r="AB3" s="31" t="s">
        <v>31</v>
      </c>
      <c r="AC3" s="32" t="s">
        <v>32</v>
      </c>
      <c r="AD3" s="33" t="s">
        <v>23</v>
      </c>
    </row>
    <row r="4">
      <c r="A4" s="34">
        <v>1.0</v>
      </c>
      <c r="B4" s="35">
        <f t="shared" ref="B4:B34" si="1">D4-C4</f>
        <v>96</v>
      </c>
      <c r="C4" s="36">
        <v>12.0</v>
      </c>
      <c r="D4" s="37">
        <v>108.0</v>
      </c>
      <c r="E4" s="38">
        <v>4.0</v>
      </c>
      <c r="F4" s="39">
        <v>0.0</v>
      </c>
      <c r="G4" s="40">
        <v>2.0</v>
      </c>
      <c r="H4" s="40">
        <v>3.0</v>
      </c>
      <c r="I4" s="40">
        <v>3.0</v>
      </c>
      <c r="J4" s="40">
        <v>1.0</v>
      </c>
      <c r="K4" s="40">
        <v>0.0</v>
      </c>
      <c r="L4" s="40">
        <v>0.0</v>
      </c>
      <c r="M4" s="37">
        <f t="shared" ref="M4:M34" si="2">D4</f>
        <v>108</v>
      </c>
      <c r="N4" s="41">
        <v>32.0</v>
      </c>
      <c r="O4" s="41">
        <v>0.0</v>
      </c>
      <c r="P4" s="41">
        <v>0.0</v>
      </c>
      <c r="Q4" s="41">
        <v>0.0</v>
      </c>
      <c r="R4" s="41">
        <v>0.0</v>
      </c>
      <c r="S4" s="42">
        <v>0.0</v>
      </c>
      <c r="T4" s="43">
        <v>4.0</v>
      </c>
      <c r="U4" s="44">
        <v>37.0</v>
      </c>
      <c r="V4" s="45">
        <v>67.0</v>
      </c>
      <c r="W4" s="45">
        <v>0.0</v>
      </c>
      <c r="X4" s="46">
        <v>6.0</v>
      </c>
      <c r="Y4" s="47">
        <v>4.0</v>
      </c>
      <c r="Z4" s="48">
        <v>0.0</v>
      </c>
      <c r="AA4" s="49">
        <v>2.0</v>
      </c>
      <c r="AB4" s="50">
        <v>1.0</v>
      </c>
      <c r="AC4" s="51">
        <v>0.0</v>
      </c>
      <c r="AD4" s="52">
        <v>0.0</v>
      </c>
    </row>
    <row r="5">
      <c r="A5" s="34">
        <v>2.0</v>
      </c>
      <c r="B5" s="35">
        <f t="shared" si="1"/>
        <v>82</v>
      </c>
      <c r="C5" s="36">
        <v>14.0</v>
      </c>
      <c r="D5" s="37">
        <v>96.0</v>
      </c>
      <c r="E5" s="38">
        <v>8.0</v>
      </c>
      <c r="F5" s="39">
        <v>4.0</v>
      </c>
      <c r="G5" s="40">
        <v>0.0</v>
      </c>
      <c r="H5" s="40">
        <v>5.0</v>
      </c>
      <c r="I5" s="40">
        <v>0.0</v>
      </c>
      <c r="J5" s="40">
        <v>0.0</v>
      </c>
      <c r="K5" s="40">
        <v>1.0</v>
      </c>
      <c r="L5" s="40">
        <v>1.0</v>
      </c>
      <c r="M5" s="37">
        <f t="shared" si="2"/>
        <v>96</v>
      </c>
      <c r="N5" s="41">
        <v>22.0</v>
      </c>
      <c r="O5" s="41">
        <v>0.0</v>
      </c>
      <c r="P5" s="41">
        <v>0.0</v>
      </c>
      <c r="Q5" s="41">
        <v>0.0</v>
      </c>
      <c r="R5" s="41">
        <v>0.0</v>
      </c>
      <c r="S5" s="42">
        <v>0.0</v>
      </c>
      <c r="T5" s="43">
        <v>9.0</v>
      </c>
      <c r="U5" s="44">
        <v>33.0</v>
      </c>
      <c r="V5" s="45">
        <v>54.0</v>
      </c>
      <c r="W5" s="45">
        <v>0.0</v>
      </c>
      <c r="X5" s="46">
        <v>2.0</v>
      </c>
      <c r="Y5" s="47">
        <v>6.0</v>
      </c>
      <c r="Z5" s="48">
        <v>0.0</v>
      </c>
      <c r="AA5" s="49">
        <v>1.0</v>
      </c>
      <c r="AB5" s="50">
        <v>0.0</v>
      </c>
      <c r="AC5" s="51">
        <v>0.0</v>
      </c>
      <c r="AD5" s="52">
        <v>0.0</v>
      </c>
    </row>
    <row r="6">
      <c r="A6" s="34">
        <v>3.0</v>
      </c>
      <c r="B6" s="35">
        <f t="shared" si="1"/>
        <v>60</v>
      </c>
      <c r="C6" s="36">
        <v>33.0</v>
      </c>
      <c r="D6" s="37">
        <v>93.0</v>
      </c>
      <c r="E6" s="38">
        <v>2.0</v>
      </c>
      <c r="F6" s="39">
        <v>0.0</v>
      </c>
      <c r="G6" s="40">
        <v>1.0</v>
      </c>
      <c r="H6" s="40">
        <v>1.0</v>
      </c>
      <c r="I6" s="40">
        <v>2.0</v>
      </c>
      <c r="J6" s="40">
        <v>0.0</v>
      </c>
      <c r="K6" s="40">
        <v>0.0</v>
      </c>
      <c r="L6" s="40">
        <v>0.0</v>
      </c>
      <c r="M6" s="37">
        <f t="shared" si="2"/>
        <v>93</v>
      </c>
      <c r="N6" s="41">
        <v>33.0</v>
      </c>
      <c r="O6" s="41">
        <v>1.0</v>
      </c>
      <c r="P6" s="41">
        <v>0.0</v>
      </c>
      <c r="Q6" s="41">
        <v>0.0</v>
      </c>
      <c r="R6" s="41">
        <v>0.0</v>
      </c>
      <c r="S6" s="42">
        <v>0.0</v>
      </c>
      <c r="T6" s="43">
        <v>5.0</v>
      </c>
      <c r="U6" s="44">
        <v>49.0</v>
      </c>
      <c r="V6" s="45">
        <v>39.0</v>
      </c>
      <c r="W6" s="45">
        <v>0.0</v>
      </c>
      <c r="X6" s="46">
        <v>14.0</v>
      </c>
      <c r="Y6" s="47">
        <v>8.0</v>
      </c>
      <c r="Z6" s="48">
        <v>2.0</v>
      </c>
      <c r="AA6" s="49">
        <v>1.0</v>
      </c>
      <c r="AB6" s="50">
        <v>0.0</v>
      </c>
      <c r="AC6" s="51">
        <v>0.0</v>
      </c>
      <c r="AD6" s="52">
        <v>0.0</v>
      </c>
    </row>
    <row r="7">
      <c r="A7" s="34">
        <v>4.0</v>
      </c>
      <c r="B7" s="35">
        <f t="shared" si="1"/>
        <v>47</v>
      </c>
      <c r="C7" s="36">
        <v>32.0</v>
      </c>
      <c r="D7" s="37">
        <v>79.0</v>
      </c>
      <c r="E7" s="38">
        <v>1.0</v>
      </c>
      <c r="F7" s="39">
        <v>0.0</v>
      </c>
      <c r="G7" s="40">
        <v>1.0</v>
      </c>
      <c r="H7" s="40">
        <v>2.0</v>
      </c>
      <c r="I7" s="40">
        <v>4.0</v>
      </c>
      <c r="J7" s="40">
        <v>0.0</v>
      </c>
      <c r="K7" s="40">
        <v>0.0</v>
      </c>
      <c r="L7" s="40">
        <v>0.0</v>
      </c>
      <c r="M7" s="37">
        <f t="shared" si="2"/>
        <v>79</v>
      </c>
      <c r="N7" s="41">
        <v>25.0</v>
      </c>
      <c r="O7" s="41">
        <v>0.0</v>
      </c>
      <c r="P7" s="41">
        <v>0.0</v>
      </c>
      <c r="Q7" s="41">
        <v>0.0</v>
      </c>
      <c r="R7" s="41">
        <v>0.0</v>
      </c>
      <c r="S7" s="42">
        <v>0.0</v>
      </c>
      <c r="T7" s="43">
        <v>2.0</v>
      </c>
      <c r="U7" s="44">
        <v>38.0</v>
      </c>
      <c r="V7" s="45">
        <v>39.0</v>
      </c>
      <c r="W7" s="45">
        <v>0.0</v>
      </c>
      <c r="X7" s="46">
        <v>11.0</v>
      </c>
      <c r="Y7" s="47">
        <v>5.0</v>
      </c>
      <c r="Z7" s="48">
        <v>3.0</v>
      </c>
      <c r="AA7" s="49">
        <v>4.0</v>
      </c>
      <c r="AB7" s="50">
        <v>0.0</v>
      </c>
      <c r="AC7" s="51">
        <v>0.0</v>
      </c>
      <c r="AD7" s="52">
        <v>0.0</v>
      </c>
    </row>
    <row r="8">
      <c r="A8" s="34">
        <v>5.0</v>
      </c>
      <c r="B8" s="35">
        <f t="shared" si="1"/>
        <v>47</v>
      </c>
      <c r="C8" s="36">
        <v>25.0</v>
      </c>
      <c r="D8" s="37">
        <v>72.0</v>
      </c>
      <c r="E8" s="38">
        <v>8.0</v>
      </c>
      <c r="F8" s="39">
        <v>1.0</v>
      </c>
      <c r="G8" s="40">
        <v>1.0</v>
      </c>
      <c r="H8" s="40">
        <v>3.0</v>
      </c>
      <c r="I8" s="40">
        <v>3.0</v>
      </c>
      <c r="J8" s="40">
        <v>0.0</v>
      </c>
      <c r="K8" s="40">
        <v>1.0</v>
      </c>
      <c r="L8" s="40">
        <v>0.0</v>
      </c>
      <c r="M8" s="37">
        <f t="shared" si="2"/>
        <v>72</v>
      </c>
      <c r="N8" s="41">
        <v>19.0</v>
      </c>
      <c r="O8" s="41">
        <v>0.0</v>
      </c>
      <c r="P8" s="41">
        <v>0.0</v>
      </c>
      <c r="Q8" s="41">
        <v>0.0</v>
      </c>
      <c r="R8" s="41">
        <v>0.0</v>
      </c>
      <c r="S8" s="42">
        <v>0.0</v>
      </c>
      <c r="T8" s="43">
        <v>5.0</v>
      </c>
      <c r="U8" s="44">
        <v>32.0</v>
      </c>
      <c r="V8" s="45">
        <v>35.0</v>
      </c>
      <c r="W8" s="45">
        <v>0.0</v>
      </c>
      <c r="X8" s="46">
        <v>14.0</v>
      </c>
      <c r="Y8" s="47">
        <v>4.0</v>
      </c>
      <c r="Z8" s="48">
        <v>4.0</v>
      </c>
      <c r="AA8" s="49">
        <v>1.0</v>
      </c>
      <c r="AB8" s="50">
        <v>0.0</v>
      </c>
      <c r="AC8" s="51">
        <v>0.0</v>
      </c>
      <c r="AD8" s="52">
        <v>0.0</v>
      </c>
    </row>
    <row r="9">
      <c r="A9" s="34">
        <v>6.0</v>
      </c>
      <c r="B9" s="35">
        <f t="shared" si="1"/>
        <v>63</v>
      </c>
      <c r="C9" s="36">
        <v>21.0</v>
      </c>
      <c r="D9" s="37">
        <v>84.0</v>
      </c>
      <c r="E9" s="38">
        <v>8.0</v>
      </c>
      <c r="F9" s="39">
        <v>3.0</v>
      </c>
      <c r="G9" s="40">
        <v>1.0</v>
      </c>
      <c r="H9" s="40">
        <v>1.0</v>
      </c>
      <c r="I9" s="40">
        <v>0.0</v>
      </c>
      <c r="J9" s="40">
        <v>0.0</v>
      </c>
      <c r="K9" s="40">
        <v>0.0</v>
      </c>
      <c r="L9" s="40">
        <v>0.0</v>
      </c>
      <c r="M9" s="37">
        <f t="shared" si="2"/>
        <v>84</v>
      </c>
      <c r="N9" s="41">
        <v>32.0</v>
      </c>
      <c r="O9" s="41">
        <v>0.0</v>
      </c>
      <c r="P9" s="41">
        <v>0.0</v>
      </c>
      <c r="Q9" s="41">
        <v>0.0</v>
      </c>
      <c r="R9" s="41">
        <v>0.0</v>
      </c>
      <c r="S9" s="42">
        <v>0.0</v>
      </c>
      <c r="T9" s="43">
        <v>2.0</v>
      </c>
      <c r="U9" s="44">
        <v>40.0</v>
      </c>
      <c r="V9" s="45">
        <v>42.0</v>
      </c>
      <c r="W9" s="45">
        <v>0.0</v>
      </c>
      <c r="X9" s="46">
        <v>12.0</v>
      </c>
      <c r="Y9" s="47">
        <v>7.0</v>
      </c>
      <c r="Z9" s="48">
        <v>2.0</v>
      </c>
      <c r="AA9" s="49">
        <v>2.0</v>
      </c>
      <c r="AB9" s="50">
        <v>1.0</v>
      </c>
      <c r="AC9" s="51">
        <v>0.0</v>
      </c>
      <c r="AD9" s="52">
        <v>0.0</v>
      </c>
    </row>
    <row r="10">
      <c r="A10" s="34">
        <v>7.0</v>
      </c>
      <c r="B10" s="35">
        <f t="shared" si="1"/>
        <v>70</v>
      </c>
      <c r="C10" s="36">
        <v>19.0</v>
      </c>
      <c r="D10" s="37">
        <v>89.0</v>
      </c>
      <c r="E10" s="38">
        <v>3.0</v>
      </c>
      <c r="F10" s="39">
        <v>2.0</v>
      </c>
      <c r="G10" s="40">
        <v>0.0</v>
      </c>
      <c r="H10" s="40">
        <v>3.0</v>
      </c>
      <c r="I10" s="40">
        <v>3.0</v>
      </c>
      <c r="J10" s="40">
        <v>0.0</v>
      </c>
      <c r="K10" s="40">
        <v>0.0</v>
      </c>
      <c r="L10" s="40">
        <v>0.0</v>
      </c>
      <c r="M10" s="37">
        <f t="shared" si="2"/>
        <v>89</v>
      </c>
      <c r="N10" s="41">
        <v>17.0</v>
      </c>
      <c r="O10" s="41">
        <v>0.0</v>
      </c>
      <c r="P10" s="41">
        <v>0.0</v>
      </c>
      <c r="Q10" s="41">
        <v>0.0</v>
      </c>
      <c r="R10" s="41">
        <v>0.0</v>
      </c>
      <c r="S10" s="42">
        <v>0.0</v>
      </c>
      <c r="T10" s="43">
        <v>5.0</v>
      </c>
      <c r="U10" s="44">
        <v>32.0</v>
      </c>
      <c r="V10" s="45">
        <v>52.0</v>
      </c>
      <c r="W10" s="45">
        <v>0.0</v>
      </c>
      <c r="X10" s="46">
        <v>8.0</v>
      </c>
      <c r="Y10" s="47">
        <v>5.0</v>
      </c>
      <c r="Z10" s="48">
        <v>2.0</v>
      </c>
      <c r="AA10" s="49">
        <v>4.0</v>
      </c>
      <c r="AB10" s="50">
        <v>0.0</v>
      </c>
      <c r="AC10" s="51">
        <v>0.0</v>
      </c>
      <c r="AD10" s="52">
        <v>0.0</v>
      </c>
    </row>
    <row r="11">
      <c r="A11" s="34">
        <v>8.0</v>
      </c>
      <c r="B11" s="35">
        <f t="shared" si="1"/>
        <v>90</v>
      </c>
      <c r="C11" s="36">
        <v>21.0</v>
      </c>
      <c r="D11" s="37">
        <v>111.0</v>
      </c>
      <c r="E11" s="38">
        <v>8.0</v>
      </c>
      <c r="F11" s="39">
        <v>2.0</v>
      </c>
      <c r="G11" s="40">
        <v>0.0</v>
      </c>
      <c r="H11" s="40">
        <v>0.0</v>
      </c>
      <c r="I11" s="40">
        <v>3.0</v>
      </c>
      <c r="J11" s="40">
        <v>0.0</v>
      </c>
      <c r="K11" s="40">
        <v>0.0</v>
      </c>
      <c r="L11" s="40">
        <v>0.0</v>
      </c>
      <c r="M11" s="37">
        <f t="shared" si="2"/>
        <v>111</v>
      </c>
      <c r="N11" s="41">
        <v>37.0</v>
      </c>
      <c r="O11" s="41">
        <v>1.0</v>
      </c>
      <c r="P11" s="41">
        <v>0.0</v>
      </c>
      <c r="Q11" s="41">
        <v>0.0</v>
      </c>
      <c r="R11" s="41">
        <v>0.0</v>
      </c>
      <c r="S11" s="42">
        <v>1.0</v>
      </c>
      <c r="T11" s="43">
        <v>3.0</v>
      </c>
      <c r="U11" s="44">
        <v>48.0</v>
      </c>
      <c r="V11" s="45">
        <v>60.0</v>
      </c>
      <c r="W11" s="45">
        <v>0.0</v>
      </c>
      <c r="X11" s="46">
        <v>6.0</v>
      </c>
      <c r="Y11" s="47">
        <v>4.0</v>
      </c>
      <c r="Z11" s="48">
        <v>2.0</v>
      </c>
      <c r="AA11" s="49">
        <v>3.0</v>
      </c>
      <c r="AB11" s="50">
        <v>0.0</v>
      </c>
      <c r="AC11" s="51">
        <v>0.0</v>
      </c>
      <c r="AD11" s="52">
        <v>0.0</v>
      </c>
    </row>
    <row r="12">
      <c r="A12" s="34">
        <v>9.0</v>
      </c>
      <c r="B12" s="35">
        <f t="shared" si="1"/>
        <v>88</v>
      </c>
      <c r="C12" s="36">
        <v>22.0</v>
      </c>
      <c r="D12" s="37">
        <v>110.0</v>
      </c>
      <c r="E12" s="38">
        <v>4.0</v>
      </c>
      <c r="F12" s="39">
        <v>1.0</v>
      </c>
      <c r="G12" s="40">
        <v>1.0</v>
      </c>
      <c r="H12" s="40">
        <v>1.0</v>
      </c>
      <c r="I12" s="40">
        <v>3.0</v>
      </c>
      <c r="J12" s="40">
        <v>1.0</v>
      </c>
      <c r="K12" s="40">
        <v>0.0</v>
      </c>
      <c r="L12" s="40">
        <v>0.0</v>
      </c>
      <c r="M12" s="37">
        <f t="shared" si="2"/>
        <v>110</v>
      </c>
      <c r="N12" s="41">
        <v>26.0</v>
      </c>
      <c r="O12" s="41">
        <v>2.0</v>
      </c>
      <c r="P12" s="41">
        <v>0.0</v>
      </c>
      <c r="Q12" s="41">
        <v>0.0</v>
      </c>
      <c r="R12" s="41">
        <v>0.0</v>
      </c>
      <c r="S12" s="42">
        <v>0.0</v>
      </c>
      <c r="T12" s="43">
        <v>12.0</v>
      </c>
      <c r="U12" s="44">
        <v>42.0</v>
      </c>
      <c r="V12" s="45">
        <v>56.0</v>
      </c>
      <c r="W12" s="45">
        <v>0.0</v>
      </c>
      <c r="X12" s="46">
        <v>6.0</v>
      </c>
      <c r="Y12" s="47">
        <v>3.0</v>
      </c>
      <c r="Z12" s="48">
        <v>4.0</v>
      </c>
      <c r="AA12" s="49">
        <v>2.0</v>
      </c>
      <c r="AB12" s="50">
        <v>1.0</v>
      </c>
      <c r="AC12" s="51">
        <v>0.0</v>
      </c>
      <c r="AD12" s="52">
        <v>0.0</v>
      </c>
    </row>
    <row r="13">
      <c r="A13" s="34">
        <v>10.0</v>
      </c>
      <c r="B13" s="35">
        <f t="shared" si="1"/>
        <v>66</v>
      </c>
      <c r="C13" s="36">
        <v>23.0</v>
      </c>
      <c r="D13" s="37">
        <v>89.0</v>
      </c>
      <c r="E13" s="38">
        <v>8.0</v>
      </c>
      <c r="F13" s="39">
        <v>0.0</v>
      </c>
      <c r="G13" s="40">
        <v>1.0</v>
      </c>
      <c r="H13" s="40">
        <v>1.0</v>
      </c>
      <c r="I13" s="40">
        <v>4.0</v>
      </c>
      <c r="J13" s="40">
        <v>1.0</v>
      </c>
      <c r="K13" s="40">
        <v>0.0</v>
      </c>
      <c r="L13" s="40">
        <v>0.0</v>
      </c>
      <c r="M13" s="37">
        <f t="shared" si="2"/>
        <v>89</v>
      </c>
      <c r="N13" s="41">
        <v>21.0</v>
      </c>
      <c r="O13" s="41">
        <v>0.0</v>
      </c>
      <c r="P13" s="41">
        <v>0.0</v>
      </c>
      <c r="Q13" s="41">
        <v>0.0</v>
      </c>
      <c r="R13" s="41">
        <v>0.0</v>
      </c>
      <c r="S13" s="42">
        <v>1.0</v>
      </c>
      <c r="T13" s="43">
        <v>3.0</v>
      </c>
      <c r="U13" s="44">
        <v>42.0</v>
      </c>
      <c r="V13" s="45">
        <v>44.0</v>
      </c>
      <c r="W13" s="45">
        <v>0.0</v>
      </c>
      <c r="X13" s="46">
        <v>14.0</v>
      </c>
      <c r="Y13" s="47">
        <v>2.0</v>
      </c>
      <c r="Z13" s="48">
        <v>0.0</v>
      </c>
      <c r="AA13" s="49">
        <v>3.0</v>
      </c>
      <c r="AB13" s="50">
        <v>0.0</v>
      </c>
      <c r="AC13" s="51">
        <v>0.0</v>
      </c>
      <c r="AD13" s="52">
        <v>0.0</v>
      </c>
    </row>
    <row r="14">
      <c r="A14" s="34">
        <v>11.0</v>
      </c>
      <c r="B14" s="35">
        <f t="shared" si="1"/>
        <v>57</v>
      </c>
      <c r="C14" s="36">
        <v>26.0</v>
      </c>
      <c r="D14" s="37">
        <v>83.0</v>
      </c>
      <c r="E14" s="38">
        <v>6.0</v>
      </c>
      <c r="F14" s="39">
        <v>2.0</v>
      </c>
      <c r="G14" s="40">
        <v>0.0</v>
      </c>
      <c r="H14" s="40">
        <v>2.0</v>
      </c>
      <c r="I14" s="40">
        <v>2.0</v>
      </c>
      <c r="J14" s="40">
        <v>0.0</v>
      </c>
      <c r="K14" s="40">
        <v>0.0</v>
      </c>
      <c r="L14" s="40">
        <v>0.0</v>
      </c>
      <c r="M14" s="37">
        <f t="shared" si="2"/>
        <v>83</v>
      </c>
      <c r="N14" s="41">
        <v>22.0</v>
      </c>
      <c r="O14" s="41">
        <v>0.0</v>
      </c>
      <c r="P14" s="41">
        <v>0.0</v>
      </c>
      <c r="Q14" s="41">
        <v>0.0</v>
      </c>
      <c r="R14" s="41">
        <v>0.0</v>
      </c>
      <c r="S14" s="42">
        <v>0.0</v>
      </c>
      <c r="T14" s="43">
        <v>10.0</v>
      </c>
      <c r="U14" s="44">
        <v>39.0</v>
      </c>
      <c r="V14" s="45">
        <v>34.0</v>
      </c>
      <c r="W14" s="53">
        <v>0.0</v>
      </c>
      <c r="X14" s="46">
        <v>6.0</v>
      </c>
      <c r="Y14" s="47">
        <v>4.0</v>
      </c>
      <c r="Z14" s="48">
        <v>1.0</v>
      </c>
      <c r="AA14" s="49">
        <v>3.0</v>
      </c>
      <c r="AB14" s="50">
        <v>0.0</v>
      </c>
      <c r="AC14" s="51">
        <v>0.0</v>
      </c>
      <c r="AD14" s="52">
        <v>0.0</v>
      </c>
    </row>
    <row r="15">
      <c r="A15" s="34">
        <v>12.0</v>
      </c>
      <c r="B15" s="35">
        <f t="shared" si="1"/>
        <v>55</v>
      </c>
      <c r="C15" s="36">
        <v>25.0</v>
      </c>
      <c r="D15" s="37">
        <v>80.0</v>
      </c>
      <c r="E15" s="38">
        <v>6.0</v>
      </c>
      <c r="F15" s="39">
        <v>5.0</v>
      </c>
      <c r="G15" s="40">
        <v>1.0</v>
      </c>
      <c r="H15" s="40">
        <v>1.0</v>
      </c>
      <c r="I15" s="40">
        <v>4.0</v>
      </c>
      <c r="J15" s="40">
        <v>0.0</v>
      </c>
      <c r="K15" s="40">
        <v>0.0</v>
      </c>
      <c r="L15" s="40">
        <v>0.0</v>
      </c>
      <c r="M15" s="37">
        <f t="shared" si="2"/>
        <v>80</v>
      </c>
      <c r="N15" s="41">
        <v>23.0</v>
      </c>
      <c r="O15" s="41">
        <v>0.0</v>
      </c>
      <c r="P15" s="54">
        <v>0.0</v>
      </c>
      <c r="Q15" s="54">
        <v>0.0</v>
      </c>
      <c r="R15" s="54">
        <v>0.0</v>
      </c>
      <c r="S15" s="42">
        <v>0.0</v>
      </c>
      <c r="T15" s="43">
        <v>5.0</v>
      </c>
      <c r="U15" s="44">
        <v>43.0</v>
      </c>
      <c r="V15" s="45">
        <v>32.0</v>
      </c>
      <c r="W15" s="55">
        <v>0.0</v>
      </c>
      <c r="X15" s="46">
        <v>9.0</v>
      </c>
      <c r="Y15" s="47">
        <v>6.0</v>
      </c>
      <c r="Z15" s="48">
        <v>2.0</v>
      </c>
      <c r="AA15" s="49">
        <v>5.0</v>
      </c>
      <c r="AB15" s="50">
        <v>0.0</v>
      </c>
      <c r="AC15" s="51">
        <v>0.0</v>
      </c>
      <c r="AD15" s="52">
        <v>0.0</v>
      </c>
    </row>
    <row r="16">
      <c r="A16" s="34">
        <v>13.0</v>
      </c>
      <c r="B16" s="35">
        <f t="shared" si="1"/>
        <v>54</v>
      </c>
      <c r="C16" s="36">
        <v>22.0</v>
      </c>
      <c r="D16" s="37">
        <v>76.0</v>
      </c>
      <c r="E16" s="38">
        <v>4.0</v>
      </c>
      <c r="F16" s="39">
        <v>0.0</v>
      </c>
      <c r="G16" s="40">
        <v>0.0</v>
      </c>
      <c r="H16" s="40">
        <v>5.0</v>
      </c>
      <c r="I16" s="40">
        <v>0.0</v>
      </c>
      <c r="J16" s="40">
        <v>1.0</v>
      </c>
      <c r="K16" s="40">
        <v>0.0</v>
      </c>
      <c r="L16" s="40">
        <v>0.0</v>
      </c>
      <c r="M16" s="37">
        <f t="shared" si="2"/>
        <v>76</v>
      </c>
      <c r="N16" s="41">
        <v>25.0</v>
      </c>
      <c r="O16" s="41">
        <v>0.0</v>
      </c>
      <c r="P16" s="54">
        <v>0.0</v>
      </c>
      <c r="Q16" s="54">
        <v>0.0</v>
      </c>
      <c r="R16" s="54">
        <v>0.0</v>
      </c>
      <c r="S16" s="42">
        <v>0.0</v>
      </c>
      <c r="T16" s="43">
        <v>3.0</v>
      </c>
      <c r="U16" s="44">
        <v>35.0</v>
      </c>
      <c r="V16" s="45">
        <v>38.0</v>
      </c>
      <c r="W16" s="55">
        <v>0.0</v>
      </c>
      <c r="X16" s="46">
        <v>10.0</v>
      </c>
      <c r="Y16" s="47">
        <v>3.0</v>
      </c>
      <c r="Z16" s="48">
        <v>0.0</v>
      </c>
      <c r="AA16" s="49">
        <v>4.0</v>
      </c>
      <c r="AB16" s="50">
        <v>0.0</v>
      </c>
      <c r="AC16" s="51">
        <v>0.0</v>
      </c>
      <c r="AD16" s="52">
        <v>0.0</v>
      </c>
    </row>
    <row r="17">
      <c r="A17" s="34">
        <v>14.0</v>
      </c>
      <c r="B17" s="35">
        <f t="shared" si="1"/>
        <v>62</v>
      </c>
      <c r="C17" s="36">
        <v>21.0</v>
      </c>
      <c r="D17" s="37">
        <v>83.0</v>
      </c>
      <c r="E17" s="38">
        <v>2.0</v>
      </c>
      <c r="F17" s="39">
        <v>2.0</v>
      </c>
      <c r="G17" s="40">
        <v>3.0</v>
      </c>
      <c r="H17" s="40">
        <v>9.0</v>
      </c>
      <c r="I17" s="40">
        <v>4.0</v>
      </c>
      <c r="J17" s="40">
        <v>0.0</v>
      </c>
      <c r="K17" s="40">
        <v>0.0</v>
      </c>
      <c r="L17" s="40">
        <v>0.0</v>
      </c>
      <c r="M17" s="37">
        <f t="shared" si="2"/>
        <v>83</v>
      </c>
      <c r="N17" s="41">
        <v>22.0</v>
      </c>
      <c r="O17" s="41">
        <v>1.0</v>
      </c>
      <c r="P17" s="54">
        <v>0.0</v>
      </c>
      <c r="Q17" s="54">
        <v>0.0</v>
      </c>
      <c r="R17" s="54">
        <v>0.0</v>
      </c>
      <c r="S17" s="42">
        <v>0.0</v>
      </c>
      <c r="T17" s="43">
        <v>3.0</v>
      </c>
      <c r="U17" s="44">
        <v>36.0</v>
      </c>
      <c r="V17" s="45">
        <v>44.0</v>
      </c>
      <c r="W17" s="55">
        <v>0.0</v>
      </c>
      <c r="X17" s="46">
        <v>15.0</v>
      </c>
      <c r="Y17" s="47">
        <v>3.0</v>
      </c>
      <c r="Z17" s="48">
        <v>4.0</v>
      </c>
      <c r="AA17" s="49">
        <v>3.0</v>
      </c>
      <c r="AB17" s="50">
        <v>0.0</v>
      </c>
      <c r="AC17" s="51">
        <v>0.0</v>
      </c>
      <c r="AD17" s="52">
        <v>0.0</v>
      </c>
    </row>
    <row r="18">
      <c r="A18" s="34">
        <v>15.0</v>
      </c>
      <c r="B18" s="35">
        <f t="shared" si="1"/>
        <v>63</v>
      </c>
      <c r="C18" s="36">
        <v>27.0</v>
      </c>
      <c r="D18" s="37">
        <v>90.0</v>
      </c>
      <c r="E18" s="38">
        <v>12.0</v>
      </c>
      <c r="F18" s="39">
        <v>0.0</v>
      </c>
      <c r="G18" s="40">
        <v>2.0</v>
      </c>
      <c r="H18" s="40">
        <v>2.0</v>
      </c>
      <c r="I18" s="40">
        <v>4.0</v>
      </c>
      <c r="J18" s="40">
        <v>1.0</v>
      </c>
      <c r="K18" s="40">
        <v>0.0</v>
      </c>
      <c r="L18" s="40">
        <v>0.0</v>
      </c>
      <c r="M18" s="37">
        <f t="shared" si="2"/>
        <v>90</v>
      </c>
      <c r="N18" s="41">
        <v>23.0</v>
      </c>
      <c r="O18" s="41">
        <v>0.0</v>
      </c>
      <c r="P18" s="54">
        <v>0.0</v>
      </c>
      <c r="Q18" s="54">
        <v>0.0</v>
      </c>
      <c r="R18" s="54">
        <v>0.0</v>
      </c>
      <c r="S18" s="42">
        <v>0.0</v>
      </c>
      <c r="T18" s="43">
        <v>10.0</v>
      </c>
      <c r="U18" s="44">
        <v>30.0</v>
      </c>
      <c r="V18" s="45">
        <v>50.0</v>
      </c>
      <c r="W18" s="55">
        <v>0.0</v>
      </c>
      <c r="X18" s="46">
        <v>9.0</v>
      </c>
      <c r="Y18" s="47">
        <v>5.0</v>
      </c>
      <c r="Z18" s="48">
        <v>3.0</v>
      </c>
      <c r="AA18" s="49">
        <v>5.0</v>
      </c>
      <c r="AB18" s="50">
        <v>0.0</v>
      </c>
      <c r="AC18" s="51">
        <v>0.0</v>
      </c>
      <c r="AD18" s="52">
        <v>0.0</v>
      </c>
    </row>
    <row r="19">
      <c r="A19" s="34">
        <v>16.0</v>
      </c>
      <c r="B19" s="35">
        <f t="shared" si="1"/>
        <v>68</v>
      </c>
      <c r="C19" s="36">
        <v>28.0</v>
      </c>
      <c r="D19" s="37">
        <v>96.0</v>
      </c>
      <c r="E19" s="38">
        <v>3.0</v>
      </c>
      <c r="F19" s="39">
        <v>2.0</v>
      </c>
      <c r="G19" s="40">
        <v>2.0</v>
      </c>
      <c r="H19" s="40">
        <v>2.0</v>
      </c>
      <c r="I19" s="40">
        <v>0.0</v>
      </c>
      <c r="J19" s="40">
        <v>1.0</v>
      </c>
      <c r="K19" s="40">
        <v>0.0</v>
      </c>
      <c r="L19" s="40">
        <v>0.0</v>
      </c>
      <c r="M19" s="37">
        <f t="shared" si="2"/>
        <v>96</v>
      </c>
      <c r="N19" s="41">
        <v>27.0</v>
      </c>
      <c r="O19" s="41">
        <v>0.0</v>
      </c>
      <c r="P19" s="41">
        <v>0.0</v>
      </c>
      <c r="Q19" s="41">
        <v>0.0</v>
      </c>
      <c r="R19" s="41">
        <v>0.0</v>
      </c>
      <c r="S19" s="42">
        <v>0.0</v>
      </c>
      <c r="T19" s="43">
        <v>12.0</v>
      </c>
      <c r="U19" s="44">
        <v>25.0</v>
      </c>
      <c r="V19" s="45">
        <v>59.0</v>
      </c>
      <c r="W19" s="56">
        <v>0.0</v>
      </c>
      <c r="X19" s="46">
        <v>3.0</v>
      </c>
      <c r="Y19" s="47">
        <v>2.0</v>
      </c>
      <c r="Z19" s="48">
        <v>1.0</v>
      </c>
      <c r="AA19" s="49">
        <v>5.0</v>
      </c>
      <c r="AB19" s="50">
        <v>1.0</v>
      </c>
      <c r="AC19" s="51">
        <v>0.0</v>
      </c>
      <c r="AD19" s="52">
        <v>0.0</v>
      </c>
    </row>
    <row r="20">
      <c r="A20" s="34">
        <v>17.0</v>
      </c>
      <c r="B20" s="35">
        <f t="shared" si="1"/>
        <v>48</v>
      </c>
      <c r="C20" s="36">
        <v>21.0</v>
      </c>
      <c r="D20" s="37">
        <v>69.0</v>
      </c>
      <c r="E20" s="38">
        <v>2.0</v>
      </c>
      <c r="F20" s="39">
        <v>0.0</v>
      </c>
      <c r="G20" s="40">
        <v>1.0</v>
      </c>
      <c r="H20" s="40">
        <v>4.0</v>
      </c>
      <c r="I20" s="40">
        <v>3.0</v>
      </c>
      <c r="J20" s="40">
        <v>1.0</v>
      </c>
      <c r="K20" s="40">
        <v>0.0</v>
      </c>
      <c r="L20" s="40">
        <v>0.0</v>
      </c>
      <c r="M20" s="37">
        <f t="shared" si="2"/>
        <v>69</v>
      </c>
      <c r="N20" s="41">
        <v>27.0</v>
      </c>
      <c r="O20" s="41">
        <v>0.0</v>
      </c>
      <c r="P20" s="41">
        <v>0.0</v>
      </c>
      <c r="Q20" s="41">
        <v>0.0</v>
      </c>
      <c r="R20" s="41">
        <v>0.0</v>
      </c>
      <c r="S20" s="42">
        <v>0.0</v>
      </c>
      <c r="T20" s="43">
        <v>5.0</v>
      </c>
      <c r="U20" s="44">
        <v>36.0</v>
      </c>
      <c r="V20" s="45">
        <v>28.0</v>
      </c>
      <c r="W20" s="45">
        <v>0.0</v>
      </c>
      <c r="X20" s="46">
        <v>12.0</v>
      </c>
      <c r="Y20" s="47">
        <v>5.0</v>
      </c>
      <c r="Z20" s="48">
        <v>0.0</v>
      </c>
      <c r="AA20" s="49">
        <v>2.0</v>
      </c>
      <c r="AB20" s="50">
        <v>2.0</v>
      </c>
      <c r="AC20" s="51">
        <v>0.0</v>
      </c>
      <c r="AD20" s="52">
        <v>0.0</v>
      </c>
    </row>
    <row r="21">
      <c r="A21" s="34">
        <v>18.0</v>
      </c>
      <c r="B21" s="35">
        <f t="shared" si="1"/>
        <v>72</v>
      </c>
      <c r="C21" s="36">
        <v>21.0</v>
      </c>
      <c r="D21" s="37">
        <v>93.0</v>
      </c>
      <c r="E21" s="38">
        <v>11.0</v>
      </c>
      <c r="F21" s="39">
        <v>2.0</v>
      </c>
      <c r="G21" s="40">
        <v>4.0</v>
      </c>
      <c r="H21" s="40">
        <v>5.0</v>
      </c>
      <c r="I21" s="40">
        <v>4.0</v>
      </c>
      <c r="J21" s="40">
        <v>0.0</v>
      </c>
      <c r="K21" s="40">
        <v>1.0</v>
      </c>
      <c r="L21" s="40">
        <v>0.0</v>
      </c>
      <c r="M21" s="37">
        <f t="shared" si="2"/>
        <v>93</v>
      </c>
      <c r="N21" s="41">
        <v>34.0</v>
      </c>
      <c r="O21" s="41">
        <v>0.0</v>
      </c>
      <c r="P21" s="41">
        <v>0.0</v>
      </c>
      <c r="Q21" s="41">
        <v>0.0</v>
      </c>
      <c r="R21" s="41">
        <v>0.0</v>
      </c>
      <c r="S21" s="42">
        <v>0.0</v>
      </c>
      <c r="T21" s="43">
        <v>10.0</v>
      </c>
      <c r="U21" s="44">
        <v>46.0</v>
      </c>
      <c r="V21" s="45">
        <v>37.0</v>
      </c>
      <c r="W21" s="45">
        <v>0.0</v>
      </c>
      <c r="X21" s="46">
        <v>14.0</v>
      </c>
      <c r="Y21" s="47">
        <v>8.0</v>
      </c>
      <c r="Z21" s="48">
        <v>4.0</v>
      </c>
      <c r="AA21" s="49">
        <v>4.0</v>
      </c>
      <c r="AB21" s="50">
        <v>0.0</v>
      </c>
      <c r="AC21" s="51">
        <v>0.0</v>
      </c>
      <c r="AD21" s="52">
        <v>0.0</v>
      </c>
    </row>
    <row r="22">
      <c r="A22" s="34">
        <v>19.0</v>
      </c>
      <c r="B22" s="35">
        <f t="shared" si="1"/>
        <v>65</v>
      </c>
      <c r="C22" s="36">
        <v>24.0</v>
      </c>
      <c r="D22" s="37">
        <v>89.0</v>
      </c>
      <c r="E22" s="38">
        <v>6.0</v>
      </c>
      <c r="F22" s="39">
        <v>1.0</v>
      </c>
      <c r="G22" s="40">
        <v>1.0</v>
      </c>
      <c r="H22" s="40">
        <v>4.0</v>
      </c>
      <c r="I22" s="40">
        <v>4.0</v>
      </c>
      <c r="J22" s="40">
        <v>0.0</v>
      </c>
      <c r="K22" s="40">
        <v>0.0</v>
      </c>
      <c r="L22" s="40">
        <v>0.0</v>
      </c>
      <c r="M22" s="37">
        <f t="shared" si="2"/>
        <v>89</v>
      </c>
      <c r="N22" s="41">
        <v>24.0</v>
      </c>
      <c r="O22" s="41">
        <v>1.0</v>
      </c>
      <c r="P22" s="41">
        <v>0.0</v>
      </c>
      <c r="Q22" s="41">
        <v>0.0</v>
      </c>
      <c r="R22" s="41">
        <v>0.0</v>
      </c>
      <c r="S22" s="42">
        <v>0.0</v>
      </c>
      <c r="T22" s="43">
        <v>4.0</v>
      </c>
      <c r="U22" s="44">
        <v>39.0</v>
      </c>
      <c r="V22" s="45">
        <v>46.0</v>
      </c>
      <c r="W22" s="45">
        <v>0.0</v>
      </c>
      <c r="X22" s="46">
        <v>17.0</v>
      </c>
      <c r="Y22" s="47">
        <v>5.0</v>
      </c>
      <c r="Z22" s="48">
        <v>0.0</v>
      </c>
      <c r="AA22" s="49">
        <v>4.0</v>
      </c>
      <c r="AB22" s="50">
        <v>0.0</v>
      </c>
      <c r="AC22" s="51">
        <v>0.0</v>
      </c>
      <c r="AD22" s="52">
        <v>0.0</v>
      </c>
    </row>
    <row r="23">
      <c r="A23" s="34">
        <v>20.0</v>
      </c>
      <c r="B23" s="35">
        <f t="shared" si="1"/>
        <v>63</v>
      </c>
      <c r="C23" s="36">
        <v>21.0</v>
      </c>
      <c r="D23" s="37">
        <v>84.0</v>
      </c>
      <c r="E23" s="38">
        <v>5.0</v>
      </c>
      <c r="F23" s="39">
        <v>0.0</v>
      </c>
      <c r="G23" s="40">
        <v>0.0</v>
      </c>
      <c r="H23" s="40">
        <v>5.0</v>
      </c>
      <c r="I23" s="40">
        <v>0.0</v>
      </c>
      <c r="J23" s="40">
        <v>1.0</v>
      </c>
      <c r="K23" s="40">
        <v>0.0</v>
      </c>
      <c r="L23" s="40">
        <v>0.0</v>
      </c>
      <c r="M23" s="37">
        <f t="shared" si="2"/>
        <v>84</v>
      </c>
      <c r="N23" s="41">
        <v>19.0</v>
      </c>
      <c r="O23" s="41">
        <v>2.0</v>
      </c>
      <c r="P23" s="54">
        <v>0.0</v>
      </c>
      <c r="Q23" s="54">
        <v>0.0</v>
      </c>
      <c r="R23" s="54">
        <v>0.0</v>
      </c>
      <c r="S23" s="42">
        <v>0.0</v>
      </c>
      <c r="T23" s="43">
        <v>4.0</v>
      </c>
      <c r="U23" s="44">
        <v>49.0</v>
      </c>
      <c r="V23" s="45">
        <v>31.0</v>
      </c>
      <c r="W23" s="55">
        <v>0.0</v>
      </c>
      <c r="X23" s="46">
        <v>8.0</v>
      </c>
      <c r="Y23" s="47">
        <v>3.0</v>
      </c>
      <c r="Z23" s="48">
        <v>1.0</v>
      </c>
      <c r="AA23" s="49">
        <v>5.0</v>
      </c>
      <c r="AB23" s="50">
        <v>1.0</v>
      </c>
      <c r="AC23" s="51">
        <v>0.0</v>
      </c>
      <c r="AD23" s="52">
        <v>0.0</v>
      </c>
    </row>
    <row r="24">
      <c r="A24" s="34">
        <v>21.0</v>
      </c>
      <c r="B24" s="35">
        <f t="shared" si="1"/>
        <v>70</v>
      </c>
      <c r="C24" s="36">
        <v>21.0</v>
      </c>
      <c r="D24" s="37">
        <v>91.0</v>
      </c>
      <c r="E24" s="38">
        <v>7.0</v>
      </c>
      <c r="F24" s="39">
        <v>1.0</v>
      </c>
      <c r="G24" s="40">
        <v>1.0</v>
      </c>
      <c r="H24" s="40">
        <v>5.0</v>
      </c>
      <c r="I24" s="40">
        <v>2.0</v>
      </c>
      <c r="J24" s="40">
        <v>0.0</v>
      </c>
      <c r="K24" s="40">
        <v>0.0</v>
      </c>
      <c r="L24" s="40">
        <v>1.0</v>
      </c>
      <c r="M24" s="37">
        <f t="shared" si="2"/>
        <v>91</v>
      </c>
      <c r="N24" s="41">
        <v>24.0</v>
      </c>
      <c r="O24" s="41">
        <v>1.0</v>
      </c>
      <c r="P24" s="54">
        <v>0.0</v>
      </c>
      <c r="Q24" s="54">
        <v>0.0</v>
      </c>
      <c r="R24" s="54">
        <v>0.0</v>
      </c>
      <c r="S24" s="42">
        <v>1.0</v>
      </c>
      <c r="T24" s="43">
        <v>6.0</v>
      </c>
      <c r="U24" s="44">
        <v>52.0</v>
      </c>
      <c r="V24" s="45">
        <v>33.0</v>
      </c>
      <c r="W24" s="55">
        <v>0.0</v>
      </c>
      <c r="X24" s="46">
        <v>8.0</v>
      </c>
      <c r="Y24" s="47">
        <v>2.0</v>
      </c>
      <c r="Z24" s="48">
        <v>8.0</v>
      </c>
      <c r="AA24" s="49">
        <v>4.0</v>
      </c>
      <c r="AB24" s="50">
        <v>1.0</v>
      </c>
      <c r="AC24" s="51">
        <v>0.0</v>
      </c>
      <c r="AD24" s="52">
        <v>0.0</v>
      </c>
    </row>
    <row r="25">
      <c r="A25" s="34">
        <v>22.0</v>
      </c>
      <c r="B25" s="35">
        <f t="shared" si="1"/>
        <v>84</v>
      </c>
      <c r="C25" s="36">
        <v>21.0</v>
      </c>
      <c r="D25" s="37">
        <v>105.0</v>
      </c>
      <c r="E25" s="38">
        <v>7.0</v>
      </c>
      <c r="F25" s="39">
        <v>2.0</v>
      </c>
      <c r="G25" s="40">
        <v>2.0</v>
      </c>
      <c r="H25" s="40">
        <v>2.0</v>
      </c>
      <c r="I25" s="40">
        <v>1.0</v>
      </c>
      <c r="J25" s="40">
        <v>0.0</v>
      </c>
      <c r="K25" s="40">
        <v>0.0</v>
      </c>
      <c r="L25" s="40">
        <v>0.0</v>
      </c>
      <c r="M25" s="37">
        <f t="shared" si="2"/>
        <v>105</v>
      </c>
      <c r="N25" s="41">
        <v>28.0</v>
      </c>
      <c r="O25" s="41">
        <v>0.0</v>
      </c>
      <c r="P25" s="54">
        <v>0.0</v>
      </c>
      <c r="Q25" s="54">
        <v>0.0</v>
      </c>
      <c r="R25" s="54">
        <v>0.0</v>
      </c>
      <c r="S25" s="42">
        <v>1.0</v>
      </c>
      <c r="T25" s="43">
        <v>6.0</v>
      </c>
      <c r="U25" s="44">
        <v>50.0</v>
      </c>
      <c r="V25" s="45">
        <v>49.0</v>
      </c>
      <c r="W25" s="55">
        <v>0.0</v>
      </c>
      <c r="X25" s="46">
        <v>7.0</v>
      </c>
      <c r="Y25" s="47">
        <v>7.0</v>
      </c>
      <c r="Z25" s="48">
        <v>4.0</v>
      </c>
      <c r="AA25" s="49">
        <v>7.0</v>
      </c>
      <c r="AB25" s="50">
        <v>0.0</v>
      </c>
      <c r="AC25" s="51">
        <v>0.0</v>
      </c>
      <c r="AD25" s="52">
        <v>0.0</v>
      </c>
    </row>
    <row r="26">
      <c r="A26" s="34">
        <v>23.0</v>
      </c>
      <c r="B26" s="35">
        <f t="shared" si="1"/>
        <v>67</v>
      </c>
      <c r="C26" s="36">
        <v>17.0</v>
      </c>
      <c r="D26" s="37">
        <v>84.0</v>
      </c>
      <c r="E26" s="38">
        <v>2.0</v>
      </c>
      <c r="F26" s="39">
        <v>2.0</v>
      </c>
      <c r="G26" s="40">
        <v>4.0</v>
      </c>
      <c r="H26" s="40">
        <v>5.0</v>
      </c>
      <c r="I26" s="40">
        <v>2.0</v>
      </c>
      <c r="J26" s="40">
        <v>1.0</v>
      </c>
      <c r="K26" s="40">
        <v>0.0</v>
      </c>
      <c r="L26" s="40">
        <v>1.0</v>
      </c>
      <c r="M26" s="37">
        <f t="shared" si="2"/>
        <v>84</v>
      </c>
      <c r="N26" s="41">
        <v>21.0</v>
      </c>
      <c r="O26" s="41">
        <v>0.0</v>
      </c>
      <c r="P26" s="54">
        <v>0.0</v>
      </c>
      <c r="Q26" s="54">
        <v>0.0</v>
      </c>
      <c r="R26" s="54">
        <v>0.0</v>
      </c>
      <c r="S26" s="42">
        <v>0.0</v>
      </c>
      <c r="T26" s="43">
        <v>7.0</v>
      </c>
      <c r="U26" s="44">
        <v>27.0</v>
      </c>
      <c r="V26" s="45">
        <v>50.0</v>
      </c>
      <c r="W26" s="55">
        <v>0.0</v>
      </c>
      <c r="X26" s="46">
        <v>2.0</v>
      </c>
      <c r="Y26" s="47">
        <v>4.0</v>
      </c>
      <c r="Z26" s="48">
        <v>0.0</v>
      </c>
      <c r="AA26" s="49">
        <v>3.0</v>
      </c>
      <c r="AB26" s="50">
        <v>0.0</v>
      </c>
      <c r="AC26" s="51">
        <v>0.0</v>
      </c>
      <c r="AD26" s="52">
        <v>0.0</v>
      </c>
    </row>
    <row r="27">
      <c r="A27" s="34">
        <v>24.0</v>
      </c>
      <c r="B27" s="35">
        <f t="shared" si="1"/>
        <v>56</v>
      </c>
      <c r="C27" s="36">
        <v>25.0</v>
      </c>
      <c r="D27" s="37">
        <v>81.0</v>
      </c>
      <c r="E27" s="38">
        <v>7.0</v>
      </c>
      <c r="F27" s="39">
        <v>1.0</v>
      </c>
      <c r="G27" s="40">
        <v>1.0</v>
      </c>
      <c r="H27" s="40">
        <v>4.0</v>
      </c>
      <c r="I27" s="40">
        <v>1.0</v>
      </c>
      <c r="J27" s="40">
        <v>0.0</v>
      </c>
      <c r="K27" s="40">
        <v>0.0</v>
      </c>
      <c r="L27" s="40">
        <v>0.0</v>
      </c>
      <c r="M27" s="37">
        <f t="shared" si="2"/>
        <v>81</v>
      </c>
      <c r="N27" s="41">
        <v>17.0</v>
      </c>
      <c r="O27" s="41">
        <v>1.0</v>
      </c>
      <c r="P27" s="54">
        <v>0.0</v>
      </c>
      <c r="Q27" s="54">
        <v>0.0</v>
      </c>
      <c r="R27" s="54">
        <v>0.0</v>
      </c>
      <c r="S27" s="42">
        <v>0.0</v>
      </c>
      <c r="T27" s="43">
        <v>7.0</v>
      </c>
      <c r="U27" s="44">
        <v>36.0</v>
      </c>
      <c r="V27" s="45">
        <v>38.0</v>
      </c>
      <c r="W27" s="55">
        <v>0.0</v>
      </c>
      <c r="X27" s="46">
        <v>15.0</v>
      </c>
      <c r="Y27" s="47">
        <v>3.0</v>
      </c>
      <c r="Z27" s="48">
        <v>7.0</v>
      </c>
      <c r="AA27" s="49">
        <v>0.0</v>
      </c>
      <c r="AB27" s="50">
        <v>0.0</v>
      </c>
      <c r="AC27" s="51">
        <v>0.0</v>
      </c>
      <c r="AD27" s="52">
        <v>0.0</v>
      </c>
    </row>
    <row r="28">
      <c r="A28" s="34">
        <v>25.0</v>
      </c>
      <c r="B28" s="35">
        <f t="shared" si="1"/>
        <v>57</v>
      </c>
      <c r="C28" s="36">
        <v>23.0</v>
      </c>
      <c r="D28" s="37">
        <v>80.0</v>
      </c>
      <c r="E28" s="38">
        <v>6.0</v>
      </c>
      <c r="F28" s="39">
        <v>1.0</v>
      </c>
      <c r="G28" s="40">
        <v>1.0</v>
      </c>
      <c r="H28" s="40">
        <v>1.0</v>
      </c>
      <c r="I28" s="40">
        <v>0.0</v>
      </c>
      <c r="J28" s="40">
        <v>3.0</v>
      </c>
      <c r="K28" s="40">
        <v>0.0</v>
      </c>
      <c r="L28" s="40">
        <v>0.0</v>
      </c>
      <c r="M28" s="37">
        <f t="shared" si="2"/>
        <v>80</v>
      </c>
      <c r="N28" s="41">
        <v>20.0</v>
      </c>
      <c r="O28" s="41">
        <v>1.0</v>
      </c>
      <c r="P28" s="41">
        <v>0.0</v>
      </c>
      <c r="Q28" s="41">
        <v>0.0</v>
      </c>
      <c r="R28" s="41">
        <v>0.0</v>
      </c>
      <c r="S28" s="42">
        <v>0.0</v>
      </c>
      <c r="T28" s="43">
        <v>9.0</v>
      </c>
      <c r="U28" s="44">
        <v>40.0</v>
      </c>
      <c r="V28" s="45">
        <v>31.0</v>
      </c>
      <c r="W28" s="45">
        <v>0.0</v>
      </c>
      <c r="X28" s="46">
        <v>10.0</v>
      </c>
      <c r="Y28" s="47">
        <v>8.0</v>
      </c>
      <c r="Z28" s="48">
        <v>3.0</v>
      </c>
      <c r="AA28" s="49">
        <v>6.0</v>
      </c>
      <c r="AB28" s="50">
        <v>0.0</v>
      </c>
      <c r="AC28" s="51">
        <v>1.0</v>
      </c>
      <c r="AD28" s="52">
        <v>0.0</v>
      </c>
    </row>
    <row r="29">
      <c r="A29" s="34">
        <v>26.0</v>
      </c>
      <c r="B29" s="35">
        <f t="shared" si="1"/>
        <v>102</v>
      </c>
      <c r="C29" s="36">
        <v>17.0</v>
      </c>
      <c r="D29" s="37">
        <v>119.0</v>
      </c>
      <c r="E29" s="38">
        <v>12.0</v>
      </c>
      <c r="F29" s="39">
        <v>1.0</v>
      </c>
      <c r="G29" s="40">
        <v>0.0</v>
      </c>
      <c r="H29" s="40">
        <v>3.0</v>
      </c>
      <c r="I29" s="40">
        <v>1.0</v>
      </c>
      <c r="J29" s="40">
        <v>1.0</v>
      </c>
      <c r="K29" s="40">
        <v>0.0</v>
      </c>
      <c r="L29" s="40">
        <v>0.0</v>
      </c>
      <c r="M29" s="37">
        <f t="shared" si="2"/>
        <v>119</v>
      </c>
      <c r="N29" s="41">
        <v>34.0</v>
      </c>
      <c r="O29" s="41">
        <v>0.0</v>
      </c>
      <c r="P29" s="41">
        <v>0.0</v>
      </c>
      <c r="Q29" s="41">
        <v>0.0</v>
      </c>
      <c r="R29" s="41">
        <v>0.0</v>
      </c>
      <c r="S29" s="42">
        <v>2.0</v>
      </c>
      <c r="T29" s="43">
        <v>6.0</v>
      </c>
      <c r="U29" s="44">
        <v>45.0</v>
      </c>
      <c r="V29" s="45">
        <v>68.0</v>
      </c>
      <c r="W29" s="45">
        <v>0.0</v>
      </c>
      <c r="X29" s="46">
        <v>3.0</v>
      </c>
      <c r="Y29" s="47">
        <v>7.0</v>
      </c>
      <c r="Z29" s="48">
        <v>5.0</v>
      </c>
      <c r="AA29" s="49">
        <v>1.0</v>
      </c>
      <c r="AB29" s="50">
        <v>0.0</v>
      </c>
      <c r="AC29" s="51">
        <v>0.0</v>
      </c>
      <c r="AD29" s="52">
        <v>0.0</v>
      </c>
    </row>
    <row r="30">
      <c r="A30" s="34">
        <v>27.0</v>
      </c>
      <c r="B30" s="35">
        <f t="shared" si="1"/>
        <v>118</v>
      </c>
      <c r="C30" s="36">
        <v>22.0</v>
      </c>
      <c r="D30" s="37">
        <v>140.0</v>
      </c>
      <c r="E30" s="38">
        <v>11.0</v>
      </c>
      <c r="F30" s="39">
        <v>1.0</v>
      </c>
      <c r="G30" s="40">
        <v>4.0</v>
      </c>
      <c r="H30" s="40">
        <v>8.0</v>
      </c>
      <c r="I30" s="40">
        <v>12.0</v>
      </c>
      <c r="J30" s="40">
        <v>0.0</v>
      </c>
      <c r="K30" s="40">
        <v>0.0</v>
      </c>
      <c r="L30" s="40">
        <v>0.0</v>
      </c>
      <c r="M30" s="37">
        <f t="shared" si="2"/>
        <v>140</v>
      </c>
      <c r="N30" s="41">
        <v>55.0</v>
      </c>
      <c r="O30" s="41">
        <v>0.0</v>
      </c>
      <c r="P30" s="41">
        <v>0.0</v>
      </c>
      <c r="Q30" s="41">
        <v>0.0</v>
      </c>
      <c r="R30" s="41">
        <v>0.0</v>
      </c>
      <c r="S30" s="42">
        <v>0.0</v>
      </c>
      <c r="T30" s="43">
        <v>6.0</v>
      </c>
      <c r="U30" s="44">
        <v>63.0</v>
      </c>
      <c r="V30" s="45">
        <v>71.0</v>
      </c>
      <c r="W30" s="45">
        <v>0.0</v>
      </c>
      <c r="X30" s="46">
        <v>4.0</v>
      </c>
      <c r="Y30" s="47">
        <v>9.0</v>
      </c>
      <c r="Z30" s="48">
        <v>0.0</v>
      </c>
      <c r="AA30" s="49">
        <v>6.0</v>
      </c>
      <c r="AB30" s="50">
        <v>0.0</v>
      </c>
      <c r="AC30" s="51">
        <v>0.0</v>
      </c>
      <c r="AD30" s="52">
        <v>0.0</v>
      </c>
    </row>
    <row r="31">
      <c r="A31" s="34">
        <v>28.0</v>
      </c>
      <c r="B31" s="35">
        <f t="shared" si="1"/>
        <v>112</v>
      </c>
      <c r="C31" s="36">
        <v>19.0</v>
      </c>
      <c r="D31" s="37">
        <v>131.0</v>
      </c>
      <c r="E31" s="38">
        <v>6.0</v>
      </c>
      <c r="F31" s="39">
        <v>0.0</v>
      </c>
      <c r="G31" s="40">
        <v>1.0</v>
      </c>
      <c r="H31" s="40">
        <v>2.0</v>
      </c>
      <c r="I31" s="40">
        <v>4.0</v>
      </c>
      <c r="J31" s="40">
        <v>1.0</v>
      </c>
      <c r="K31" s="40">
        <v>0.0</v>
      </c>
      <c r="L31" s="40">
        <v>0.0</v>
      </c>
      <c r="M31" s="37">
        <f t="shared" si="2"/>
        <v>131</v>
      </c>
      <c r="N31" s="41">
        <v>49.0</v>
      </c>
      <c r="O31" s="41">
        <v>0.0</v>
      </c>
      <c r="P31" s="41">
        <v>0.0</v>
      </c>
      <c r="Q31" s="41">
        <v>0.0</v>
      </c>
      <c r="R31" s="41">
        <v>0.0</v>
      </c>
      <c r="S31" s="42">
        <v>0.0</v>
      </c>
      <c r="T31" s="43">
        <v>6.0</v>
      </c>
      <c r="U31" s="44">
        <v>46.0</v>
      </c>
      <c r="V31" s="45">
        <v>79.0</v>
      </c>
      <c r="W31" s="45">
        <v>0.0</v>
      </c>
      <c r="X31" s="46">
        <v>4.0</v>
      </c>
      <c r="Y31" s="47">
        <v>2.0</v>
      </c>
      <c r="Z31" s="48">
        <v>3.0</v>
      </c>
      <c r="AA31" s="49">
        <v>3.0</v>
      </c>
      <c r="AB31" s="50">
        <v>2.0</v>
      </c>
      <c r="AC31" s="51">
        <v>0.0</v>
      </c>
      <c r="AD31" s="52">
        <v>0.0</v>
      </c>
    </row>
    <row r="32">
      <c r="A32" s="34">
        <v>29.0</v>
      </c>
      <c r="B32" s="35">
        <f t="shared" si="1"/>
        <v>87</v>
      </c>
      <c r="C32" s="36">
        <v>26.0</v>
      </c>
      <c r="D32" s="37">
        <v>113.0</v>
      </c>
      <c r="E32" s="38">
        <v>5.0</v>
      </c>
      <c r="F32" s="39">
        <v>1.0</v>
      </c>
      <c r="G32" s="40">
        <v>0.0</v>
      </c>
      <c r="H32" s="40">
        <v>3.0</v>
      </c>
      <c r="I32" s="40">
        <v>4.0</v>
      </c>
      <c r="J32" s="40">
        <v>1.0</v>
      </c>
      <c r="K32" s="40">
        <v>0.0</v>
      </c>
      <c r="L32" s="40">
        <v>0.0</v>
      </c>
      <c r="M32" s="37">
        <f t="shared" si="2"/>
        <v>113</v>
      </c>
      <c r="N32" s="41">
        <v>36.0</v>
      </c>
      <c r="O32" s="41">
        <v>1.0</v>
      </c>
      <c r="P32" s="41">
        <v>0.0</v>
      </c>
      <c r="Q32" s="41">
        <v>0.0</v>
      </c>
      <c r="R32" s="41">
        <v>0.0</v>
      </c>
      <c r="S32" s="42">
        <v>0.0</v>
      </c>
      <c r="T32" s="43">
        <v>8.0</v>
      </c>
      <c r="U32" s="44">
        <v>53.0</v>
      </c>
      <c r="V32" s="45">
        <v>52.0</v>
      </c>
      <c r="W32" s="45">
        <v>0.0</v>
      </c>
      <c r="X32" s="46">
        <v>2.0</v>
      </c>
      <c r="Y32" s="47">
        <v>5.0</v>
      </c>
      <c r="Z32" s="48">
        <v>3.0</v>
      </c>
      <c r="AA32" s="49">
        <v>3.0</v>
      </c>
      <c r="AB32" s="50">
        <v>0.0</v>
      </c>
      <c r="AC32" s="51">
        <v>0.0</v>
      </c>
      <c r="AD32" s="52">
        <v>0.0</v>
      </c>
    </row>
    <row r="33">
      <c r="A33" s="34">
        <v>30.0</v>
      </c>
      <c r="B33" s="35">
        <f t="shared" si="1"/>
        <v>96</v>
      </c>
      <c r="C33" s="36">
        <v>23.0</v>
      </c>
      <c r="D33" s="37">
        <v>119.0</v>
      </c>
      <c r="E33" s="38">
        <v>7.0</v>
      </c>
      <c r="F33" s="39">
        <v>3.0</v>
      </c>
      <c r="G33" s="40">
        <v>1.0</v>
      </c>
      <c r="H33" s="40">
        <v>3.0</v>
      </c>
      <c r="I33" s="40">
        <v>3.0</v>
      </c>
      <c r="J33" s="40">
        <v>0.0</v>
      </c>
      <c r="K33" s="40">
        <v>1.0</v>
      </c>
      <c r="L33" s="40">
        <v>1.0</v>
      </c>
      <c r="M33" s="37">
        <f t="shared" si="2"/>
        <v>119</v>
      </c>
      <c r="N33" s="41">
        <v>24.0</v>
      </c>
      <c r="O33" s="41">
        <v>3.0</v>
      </c>
      <c r="P33" s="41">
        <v>0.0</v>
      </c>
      <c r="Q33" s="41">
        <v>0.0</v>
      </c>
      <c r="R33" s="41">
        <v>0.0</v>
      </c>
      <c r="S33" s="42">
        <v>2.0</v>
      </c>
      <c r="T33" s="43">
        <v>5.0</v>
      </c>
      <c r="U33" s="44">
        <v>49.0</v>
      </c>
      <c r="V33" s="45">
        <v>65.0</v>
      </c>
      <c r="W33" s="45">
        <v>0.0</v>
      </c>
      <c r="X33" s="46">
        <v>5.0</v>
      </c>
      <c r="Y33" s="47">
        <v>5.0</v>
      </c>
      <c r="Z33" s="48">
        <v>8.0</v>
      </c>
      <c r="AA33" s="49">
        <v>8.0</v>
      </c>
      <c r="AB33" s="50">
        <v>0.0</v>
      </c>
      <c r="AC33" s="51">
        <v>0.0</v>
      </c>
      <c r="AD33" s="52">
        <v>0.0</v>
      </c>
    </row>
    <row r="34">
      <c r="A34" s="34">
        <v>31.0</v>
      </c>
      <c r="B34" s="35">
        <f t="shared" si="1"/>
        <v>109</v>
      </c>
      <c r="C34" s="36">
        <v>29.0</v>
      </c>
      <c r="D34" s="37">
        <v>138.0</v>
      </c>
      <c r="E34" s="38">
        <v>10.0</v>
      </c>
      <c r="F34" s="39">
        <v>1.0</v>
      </c>
      <c r="G34" s="40">
        <v>1.0</v>
      </c>
      <c r="H34" s="40">
        <v>1.0</v>
      </c>
      <c r="I34" s="40">
        <v>1.0</v>
      </c>
      <c r="J34" s="40">
        <v>1.0</v>
      </c>
      <c r="K34" s="40">
        <v>0.0</v>
      </c>
      <c r="L34" s="40">
        <v>0.0</v>
      </c>
      <c r="M34" s="37">
        <f t="shared" si="2"/>
        <v>138</v>
      </c>
      <c r="N34" s="41">
        <v>40.0</v>
      </c>
      <c r="O34" s="41">
        <v>2.0</v>
      </c>
      <c r="P34" s="41">
        <v>0.0</v>
      </c>
      <c r="Q34" s="41">
        <v>0.0</v>
      </c>
      <c r="R34" s="41">
        <v>0.0</v>
      </c>
      <c r="S34" s="42">
        <v>1.0</v>
      </c>
      <c r="T34" s="43">
        <v>6.0</v>
      </c>
      <c r="U34" s="44">
        <v>47.0</v>
      </c>
      <c r="V34" s="45">
        <v>85.0</v>
      </c>
      <c r="W34" s="45">
        <v>0.0</v>
      </c>
      <c r="X34" s="46">
        <v>12.0</v>
      </c>
      <c r="Y34" s="47">
        <v>6.0</v>
      </c>
      <c r="Z34" s="48">
        <v>0.0</v>
      </c>
      <c r="AA34" s="49">
        <v>7.0</v>
      </c>
      <c r="AB34" s="50">
        <v>0.0</v>
      </c>
      <c r="AC34" s="51">
        <v>0.0</v>
      </c>
      <c r="AD34" s="52">
        <v>0.0</v>
      </c>
    </row>
    <row r="35">
      <c r="A35" s="57" t="s">
        <v>5</v>
      </c>
      <c r="B35" s="58" t="s">
        <v>6</v>
      </c>
      <c r="C35" s="57" t="s">
        <v>7</v>
      </c>
      <c r="D35" s="59" t="s">
        <v>8</v>
      </c>
      <c r="E35" s="60" t="s">
        <v>9</v>
      </c>
      <c r="F35" s="61" t="s">
        <v>10</v>
      </c>
      <c r="G35" s="19" t="s">
        <v>11</v>
      </c>
      <c r="H35" s="19" t="s">
        <v>12</v>
      </c>
      <c r="I35" s="19" t="s">
        <v>13</v>
      </c>
      <c r="J35" s="19" t="s">
        <v>14</v>
      </c>
      <c r="K35" s="19" t="s">
        <v>15</v>
      </c>
      <c r="L35" s="19" t="s">
        <v>16</v>
      </c>
      <c r="M35" s="20" t="s">
        <v>33</v>
      </c>
      <c r="N35" s="62" t="s">
        <v>18</v>
      </c>
      <c r="O35" s="62" t="s">
        <v>19</v>
      </c>
      <c r="P35" s="63" t="s">
        <v>20</v>
      </c>
      <c r="Q35" s="63" t="s">
        <v>21</v>
      </c>
      <c r="R35" s="63" t="s">
        <v>22</v>
      </c>
      <c r="S35" s="63" t="s">
        <v>23</v>
      </c>
      <c r="T35" s="64" t="s">
        <v>24</v>
      </c>
      <c r="U35" s="65" t="s">
        <v>25</v>
      </c>
      <c r="V35" s="57" t="s">
        <v>34</v>
      </c>
      <c r="W35" s="57" t="s">
        <v>35</v>
      </c>
      <c r="X35" s="66" t="s">
        <v>28</v>
      </c>
      <c r="Y35" s="67" t="s">
        <v>29</v>
      </c>
      <c r="Z35" s="68" t="s">
        <v>23</v>
      </c>
      <c r="AA35" s="30" t="s">
        <v>30</v>
      </c>
      <c r="AB35" s="31" t="s">
        <v>31</v>
      </c>
      <c r="AC35" s="32" t="s">
        <v>32</v>
      </c>
      <c r="AD35" s="33" t="s">
        <v>23</v>
      </c>
    </row>
    <row r="36">
      <c r="A36" s="72" t="s">
        <v>8</v>
      </c>
      <c r="B36" s="58">
        <f t="shared" ref="B36:M36" si="3">SUM(B4:B34)</f>
        <v>2274</v>
      </c>
      <c r="C36" s="73">
        <f t="shared" si="3"/>
        <v>701</v>
      </c>
      <c r="D36" s="59">
        <f t="shared" si="3"/>
        <v>2975</v>
      </c>
      <c r="E36" s="60">
        <f t="shared" si="3"/>
        <v>191</v>
      </c>
      <c r="F36" s="74">
        <f t="shared" si="3"/>
        <v>41</v>
      </c>
      <c r="G36" s="72">
        <f t="shared" si="3"/>
        <v>38</v>
      </c>
      <c r="H36" s="72">
        <f t="shared" si="3"/>
        <v>96</v>
      </c>
      <c r="I36" s="72">
        <f t="shared" si="3"/>
        <v>81</v>
      </c>
      <c r="J36" s="72">
        <f t="shared" si="3"/>
        <v>16</v>
      </c>
      <c r="K36" s="72">
        <f t="shared" si="3"/>
        <v>4</v>
      </c>
      <c r="L36" s="72">
        <f t="shared" si="3"/>
        <v>4</v>
      </c>
      <c r="M36" s="59">
        <f t="shared" si="3"/>
        <v>2975</v>
      </c>
      <c r="N36" s="75">
        <f t="shared" ref="N36:O36" si="4">SUM(N4:N35)</f>
        <v>858</v>
      </c>
      <c r="O36" s="75">
        <f t="shared" si="4"/>
        <v>17</v>
      </c>
      <c r="P36" s="76" t="s">
        <v>4</v>
      </c>
      <c r="Q36" s="2"/>
      <c r="R36" s="2"/>
      <c r="S36" s="3"/>
      <c r="T36" s="64">
        <f t="shared" ref="T36:AD36" si="5">SUM(T4:T34)</f>
        <v>188</v>
      </c>
      <c r="U36" s="65">
        <f t="shared" si="5"/>
        <v>1279</v>
      </c>
      <c r="V36" s="57">
        <f t="shared" si="5"/>
        <v>1508</v>
      </c>
      <c r="W36" s="57">
        <f t="shared" si="5"/>
        <v>0</v>
      </c>
      <c r="X36" s="66">
        <f t="shared" si="5"/>
        <v>268</v>
      </c>
      <c r="Y36" s="67">
        <f t="shared" si="5"/>
        <v>150</v>
      </c>
      <c r="Z36" s="68">
        <f t="shared" si="5"/>
        <v>76</v>
      </c>
      <c r="AA36" s="58">
        <f t="shared" si="5"/>
        <v>111</v>
      </c>
      <c r="AB36" s="69">
        <f t="shared" si="5"/>
        <v>10</v>
      </c>
      <c r="AC36" s="70">
        <f t="shared" si="5"/>
        <v>1</v>
      </c>
      <c r="AD36" s="71">
        <f t="shared" si="5"/>
        <v>0</v>
      </c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8"/>
      <c r="O37" s="8"/>
      <c r="P37" s="75">
        <f t="shared" ref="P37:S37" si="6">SUM(P4:P34)</f>
        <v>0</v>
      </c>
      <c r="Q37" s="75">
        <f t="shared" si="6"/>
        <v>0</v>
      </c>
      <c r="R37" s="75">
        <f t="shared" si="6"/>
        <v>0</v>
      </c>
      <c r="S37" s="75">
        <f t="shared" si="6"/>
        <v>9</v>
      </c>
      <c r="T37" s="7"/>
      <c r="U37" s="3"/>
      <c r="V37" s="77">
        <f>SUM(V36,W36)</f>
        <v>1508</v>
      </c>
      <c r="W37" s="78"/>
      <c r="X37" s="7"/>
      <c r="Y37" s="2"/>
      <c r="Z37" s="3"/>
      <c r="AA37" s="7"/>
      <c r="AB37" s="2"/>
      <c r="AC37" s="2"/>
      <c r="AD37" s="3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79"/>
      <c r="O38" s="80"/>
      <c r="P38" s="2"/>
      <c r="Q38" s="2"/>
      <c r="R38" s="2"/>
      <c r="S38" s="3"/>
      <c r="T38" s="81">
        <f>SUM(T36,U36,V37)</f>
        <v>2975</v>
      </c>
      <c r="U38" s="2"/>
      <c r="V38" s="2"/>
      <c r="W38" s="78"/>
      <c r="X38" s="82">
        <f>SUM(X36:Z36)</f>
        <v>494</v>
      </c>
      <c r="Y38" s="2"/>
      <c r="Z38" s="3"/>
      <c r="AA38" s="82">
        <f>SUM(AA36:AD36)</f>
        <v>122</v>
      </c>
      <c r="AB38" s="2"/>
      <c r="AC38" s="2"/>
      <c r="AD38" s="3"/>
    </row>
  </sheetData>
  <mergeCells count="20">
    <mergeCell ref="A1:S1"/>
    <mergeCell ref="T1:W1"/>
    <mergeCell ref="X1:Z1"/>
    <mergeCell ref="AA1:AD1"/>
    <mergeCell ref="G2:L2"/>
    <mergeCell ref="P2:S2"/>
    <mergeCell ref="T2:W2"/>
    <mergeCell ref="A37:M37"/>
    <mergeCell ref="A38:M38"/>
    <mergeCell ref="O38:S38"/>
    <mergeCell ref="T38:W38"/>
    <mergeCell ref="X38:Z38"/>
    <mergeCell ref="AA38:AD38"/>
    <mergeCell ref="X2:Z2"/>
    <mergeCell ref="AA2:AD2"/>
    <mergeCell ref="P36:S36"/>
    <mergeCell ref="T37:U37"/>
    <mergeCell ref="V37:W37"/>
    <mergeCell ref="X37:Z37"/>
    <mergeCell ref="AA37:AD3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2005-09-07T07:22:25Z</dcterms:created>
  <dc:creator>WAN MIE</dc:creator>
</cp:coreProperties>
</file>